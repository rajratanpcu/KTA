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ales Invoices" sheetId="2" state="visible" r:id="rId4"/>
    <sheet name="Invoice Line Items" sheetId="3" state="visible" r:id="rId5"/>
    <sheet name="Payments &amp; Receipts" sheetId="4" state="visible" r:id="rId6"/>
    <sheet name="Parties Ledger" sheetId="5" state="visible" r:id="rId7"/>
    <sheet name="Item Master &amp; Stock" sheetId="6" state="visible" r:id="rId8"/>
    <sheet name="All Transactions Regist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<sst xmlns="http://schemas.openxmlformats.org/spreadsheetml/2006/main" count="8462" uniqueCount="948">
  <si>
    <t xml:space="preserve">KUSHWAHA TENT AJENCY</t>
  </si>
  <si>
    <t xml:space="preserve">Executive Business Performance, Sales, &amp; Inventory Overview</t>
  </si>
  <si>
    <t xml:space="preserve">Location: Umesh Cinema Road, Hajipur - 844101, Bihar  |  Phone: 9431658931  |  GSTIN: 10AYYPK5118M1Z1  |  Period: Feb 2023 – Dec 2025</t>
  </si>
  <si>
    <t xml:space="preserve">1. KEY FINANCIAL PERFORMANCE INDICATORS</t>
  </si>
  <si>
    <t xml:space="preserve">Metric Description</t>
  </si>
  <si>
    <t xml:space="preserve">Amount / Count</t>
  </si>
  <si>
    <t xml:space="preserve">Calculation / Source Sheet</t>
  </si>
  <si>
    <t xml:space="preserve">Notes</t>
  </si>
  <si>
    <t xml:space="preserve">Total Sales Invoiced</t>
  </si>
  <si>
    <t xml:space="preserve">'Sales Invoices'!E183</t>
  </si>
  <si>
    <t xml:space="preserve">Total gross sales across 178 tax invoices</t>
  </si>
  <si>
    <t xml:space="preserve">Total Upfront Payments on Invoices</t>
  </si>
  <si>
    <t xml:space="preserve">'Sales Invoices'!F183</t>
  </si>
  <si>
    <t xml:space="preserve">Immediate cash/bank received at time of invoice creation</t>
  </si>
  <si>
    <t xml:space="preserve">Total Outstanding on Invoices</t>
  </si>
  <si>
    <t xml:space="preserve">'Sales Invoices'!G183</t>
  </si>
  <si>
    <t xml:space="preserve">Remaining unpaid balance on sales invoices</t>
  </si>
  <si>
    <t xml:space="preserve">Total Payments Received (Receipts)</t>
  </si>
  <si>
    <t xml:space="preserve">'Payments &amp; Receipts' sheet</t>
  </si>
  <si>
    <t xml:space="preserve">Collections against past dues across 209 payment entries</t>
  </si>
  <si>
    <t xml:space="preserve">Total Outgoing Payments (Disbursements)</t>
  </si>
  <si>
    <t xml:space="preserve">Disbursements to suppliers/vendors (Tent studio)</t>
  </si>
  <si>
    <t xml:space="preserve">Total Customer Outstanding Ledger Balances</t>
  </si>
  <si>
    <t xml:space="preserve">'Parties Ledger'!H42</t>
  </si>
  <si>
    <t xml:space="preserve">Cumulative net receivables currently recorded in customer ledger</t>
  </si>
  <si>
    <t xml:space="preserve">Total Active Product Catalog SKUs</t>
  </si>
  <si>
    <t xml:space="preserve">'Item Master &amp; Stock'!C5:C111</t>
  </si>
  <si>
    <t xml:space="preserve">Total number of unique items and materials in catalog</t>
  </si>
  <si>
    <t xml:space="preserve">Total Customers &amp; Business Parties</t>
  </si>
  <si>
    <t xml:space="preserve">'Parties Ledger'!B5:B41</t>
  </si>
  <si>
    <t xml:space="preserve">Total registered customer, vendor, and expense accounts</t>
  </si>
  <si>
    <t xml:space="preserve">2. TOP 10 CUSTOMERS BY TOTAL SALES REVENUE</t>
  </si>
  <si>
    <t xml:space="preserve">Rank</t>
  </si>
  <si>
    <t xml:space="preserve">Customer / Party Name</t>
  </si>
  <si>
    <t xml:space="preserve">Contact Number</t>
  </si>
  <si>
    <t xml:space="preserve">Invoices Count</t>
  </si>
  <si>
    <t xml:space="preserve">Total Invoiced (₹)</t>
  </si>
  <si>
    <t xml:space="preserve">Current Balance (₹)</t>
  </si>
  <si>
    <t xml:space="preserve">New kushwaha Tent Ajency Mahnar</t>
  </si>
  <si>
    <t xml:space="preserve">-</t>
  </si>
  <si>
    <t xml:space="preserve">Maharani electric and tent spare</t>
  </si>
  <si>
    <t xml:space="preserve">80027 21806</t>
  </si>
  <si>
    <t xml:space="preserve">Hariyali Machinery and Electric</t>
  </si>
  <si>
    <t xml:space="preserve">82929 25700</t>
  </si>
  <si>
    <t xml:space="preserve">Pankaj tent house</t>
  </si>
  <si>
    <t xml:space="preserve">8002721806</t>
  </si>
  <si>
    <t xml:space="preserve">Sohan Dj Sound</t>
  </si>
  <si>
    <t xml:space="preserve">9304740919</t>
  </si>
  <si>
    <t xml:space="preserve">Rajiv tent house</t>
  </si>
  <si>
    <t xml:space="preserve">8709715058</t>
  </si>
  <si>
    <t xml:space="preserve">Sonu kumar</t>
  </si>
  <si>
    <t xml:space="preserve">8757293627</t>
  </si>
  <si>
    <t xml:space="preserve">J.P.K Enterprise</t>
  </si>
  <si>
    <t xml:space="preserve">9431487455</t>
  </si>
  <si>
    <t xml:space="preserve">Raja tent house</t>
  </si>
  <si>
    <t xml:space="preserve">7488020540</t>
  </si>
  <si>
    <t xml:space="preserve">Abhishek and Arushi Enterprises</t>
  </si>
  <si>
    <t xml:space="preserve">9097537676</t>
  </si>
  <si>
    <t xml:space="preserve">3. TOP 10 SELLING PRODUCTS &amp; MATERIALS BY REVENUE</t>
  </si>
  <si>
    <t xml:space="preserve">Item / Material Name</t>
  </si>
  <si>
    <t xml:space="preserve">Category</t>
  </si>
  <si>
    <t xml:space="preserve">Total Quantity Sold</t>
  </si>
  <si>
    <t xml:space="preserve">Unit</t>
  </si>
  <si>
    <t xml:space="preserve">Total Sales Revenue (₹)</t>
  </si>
  <si>
    <t xml:space="preserve">clothes</t>
  </si>
  <si>
    <t xml:space="preserve">Mtr</t>
  </si>
  <si>
    <t xml:space="preserve">Plastic chair</t>
  </si>
  <si>
    <t xml:space="preserve">Pcs</t>
  </si>
  <si>
    <t xml:space="preserve">Avdesh clothes</t>
  </si>
  <si>
    <t xml:space="preserve">Print carpet</t>
  </si>
  <si>
    <t xml:space="preserve">Raj cooler 150ltr white copper</t>
  </si>
  <si>
    <t xml:space="preserve">Chadra table</t>
  </si>
  <si>
    <t xml:space="preserve">Bright clothes</t>
  </si>
  <si>
    <t xml:space="preserve">F</t>
  </si>
  <si>
    <t xml:space="preserve">V.I.P chair</t>
  </si>
  <si>
    <t xml:space="preserve">Clothes mtr</t>
  </si>
  <si>
    <t xml:space="preserve">Dari</t>
  </si>
  <si>
    <t xml:space="preserve">Kushwaha Tent Ajency — Sales Invoices Register</t>
  </si>
  <si>
    <t xml:space="preserve">Master register of all sales invoices issued between Feb 2023 and Dec 2025</t>
  </si>
  <si>
    <t xml:space="preserve">Sl No</t>
  </si>
  <si>
    <t xml:space="preserve">Invoice No</t>
  </si>
  <si>
    <t xml:space="preserve">Date</t>
  </si>
  <si>
    <t xml:space="preserve">Total Amount (₹)</t>
  </si>
  <si>
    <t xml:space="preserve">Paid Amount (₹)</t>
  </si>
  <si>
    <t xml:space="preserve">Balance Due (₹)</t>
  </si>
  <si>
    <t xml:space="preserve">Payment Status</t>
  </si>
  <si>
    <t xml:space="preserve">Payment Mode</t>
  </si>
  <si>
    <t xml:space="preserve">Description / Notes</t>
  </si>
  <si>
    <t xml:space="preserve">1</t>
  </si>
  <si>
    <t xml:space="preserve">2023-02-11</t>
  </si>
  <si>
    <t xml:space="preserve">Cash</t>
  </si>
  <si>
    <t xml:space="preserve">2</t>
  </si>
  <si>
    <t xml:space="preserve">2023-02-12</t>
  </si>
  <si>
    <t xml:space="preserve">3</t>
  </si>
  <si>
    <t xml:space="preserve">Pardeep kumar</t>
  </si>
  <si>
    <t xml:space="preserve">4</t>
  </si>
  <si>
    <t xml:space="preserve">R.D.S palace</t>
  </si>
  <si>
    <t xml:space="preserve">5</t>
  </si>
  <si>
    <t xml:space="preserve">2023-02-14</t>
  </si>
  <si>
    <t xml:space="preserve">gulshan tent house</t>
  </si>
  <si>
    <t xml:space="preserve">7</t>
  </si>
  <si>
    <t xml:space="preserve">2023-02-21</t>
  </si>
  <si>
    <t xml:space="preserve">8</t>
  </si>
  <si>
    <t xml:space="preserve">2023-03-07</t>
  </si>
  <si>
    <t xml:space="preserve">5000- Account deposit
45000- cash</t>
  </si>
  <si>
    <t xml:space="preserve">9</t>
  </si>
  <si>
    <t xml:space="preserve">2023-04-05</t>
  </si>
  <si>
    <t xml:space="preserve">Anil tent house</t>
  </si>
  <si>
    <t xml:space="preserve">10</t>
  </si>
  <si>
    <t xml:space="preserve">2023-04-09</t>
  </si>
  <si>
    <t xml:space="preserve">shir ram tent house</t>
  </si>
  <si>
    <t xml:space="preserve">11</t>
  </si>
  <si>
    <t xml:space="preserve">2023-04-11</t>
  </si>
  <si>
    <t xml:space="preserve">12</t>
  </si>
  <si>
    <t xml:space="preserve">2023-04-14</t>
  </si>
  <si>
    <t xml:space="preserve">13</t>
  </si>
  <si>
    <t xml:space="preserve">Birju singh</t>
  </si>
  <si>
    <t xml:space="preserve">14</t>
  </si>
  <si>
    <t xml:space="preserve">jitendra tent house</t>
  </si>
  <si>
    <t xml:space="preserve">16</t>
  </si>
  <si>
    <t xml:space="preserve">2023-04-19</t>
  </si>
  <si>
    <t xml:space="preserve">Cafe D3</t>
  </si>
  <si>
    <t xml:space="preserve">17</t>
  </si>
  <si>
    <t xml:space="preserve">2023-04-21</t>
  </si>
  <si>
    <t xml:space="preserve">Chauhan tent house</t>
  </si>
  <si>
    <t xml:space="preserve">18</t>
  </si>
  <si>
    <t xml:space="preserve">2023-04-24</t>
  </si>
  <si>
    <t xml:space="preserve">19</t>
  </si>
  <si>
    <t xml:space="preserve">2023-04-28</t>
  </si>
  <si>
    <t xml:space="preserve">20</t>
  </si>
  <si>
    <t xml:space="preserve">2023-05-09</t>
  </si>
  <si>
    <t xml:space="preserve">21</t>
  </si>
  <si>
    <t xml:space="preserve">2023-05-12</t>
  </si>
  <si>
    <t xml:space="preserve">22</t>
  </si>
  <si>
    <t xml:space="preserve">2023-05-16</t>
  </si>
  <si>
    <t xml:space="preserve">23</t>
  </si>
  <si>
    <t xml:space="preserve">2023-05-20</t>
  </si>
  <si>
    <t xml:space="preserve">24</t>
  </si>
  <si>
    <t xml:space="preserve">2023-05-28</t>
  </si>
  <si>
    <t xml:space="preserve">25</t>
  </si>
  <si>
    <t xml:space="preserve">2023-05-30</t>
  </si>
  <si>
    <t xml:space="preserve">26</t>
  </si>
  <si>
    <t xml:space="preserve">2023-06-05</t>
  </si>
  <si>
    <t xml:space="preserve">27</t>
  </si>
  <si>
    <t xml:space="preserve">2023-06-14</t>
  </si>
  <si>
    <t xml:space="preserve">28</t>
  </si>
  <si>
    <t xml:space="preserve">2023-06-21</t>
  </si>
  <si>
    <t xml:space="preserve">Kotak Mahindra Bank</t>
  </si>
  <si>
    <t xml:space="preserve">29</t>
  </si>
  <si>
    <t xml:space="preserve">2023-07-16</t>
  </si>
  <si>
    <t xml:space="preserve">30</t>
  </si>
  <si>
    <t xml:space="preserve">2023-08-16</t>
  </si>
  <si>
    <t xml:space="preserve">31</t>
  </si>
  <si>
    <t xml:space="preserve">2023-10-03</t>
  </si>
  <si>
    <t xml:space="preserve">32</t>
  </si>
  <si>
    <t xml:space="preserve">2023-10-05</t>
  </si>
  <si>
    <t xml:space="preserve">33</t>
  </si>
  <si>
    <t xml:space="preserve">2023-11-24</t>
  </si>
  <si>
    <t xml:space="preserve">34</t>
  </si>
  <si>
    <t xml:space="preserve">2023-12-05</t>
  </si>
  <si>
    <t xml:space="preserve">36</t>
  </si>
  <si>
    <t xml:space="preserve">2023-12-12</t>
  </si>
  <si>
    <t xml:space="preserve">35</t>
  </si>
  <si>
    <t xml:space="preserve">2023-12-13</t>
  </si>
  <si>
    <t xml:space="preserve">37</t>
  </si>
  <si>
    <t xml:space="preserve">2023-12-26</t>
  </si>
  <si>
    <t xml:space="preserve">38</t>
  </si>
  <si>
    <t xml:space="preserve">2024-01-19</t>
  </si>
  <si>
    <t xml:space="preserve">39</t>
  </si>
  <si>
    <t xml:space="preserve">2024-01-24</t>
  </si>
  <si>
    <t xml:space="preserve">40</t>
  </si>
  <si>
    <t xml:space="preserve">41</t>
  </si>
  <si>
    <t xml:space="preserve">2024-01-31</t>
  </si>
  <si>
    <t xml:space="preserve">42</t>
  </si>
  <si>
    <t xml:space="preserve">2024-02-08</t>
  </si>
  <si>
    <t xml:space="preserve">43</t>
  </si>
  <si>
    <t xml:space="preserve">2024-02-13</t>
  </si>
  <si>
    <t xml:space="preserve">44</t>
  </si>
  <si>
    <t xml:space="preserve">2024-02-16</t>
  </si>
  <si>
    <t xml:space="preserve">45</t>
  </si>
  <si>
    <t xml:space="preserve">2024-02-20</t>
  </si>
  <si>
    <t xml:space="preserve">46</t>
  </si>
  <si>
    <t xml:space="preserve">2024-02-25</t>
  </si>
  <si>
    <t xml:space="preserve">D green</t>
  </si>
  <si>
    <t xml:space="preserve">47</t>
  </si>
  <si>
    <t xml:space="preserve">48</t>
  </si>
  <si>
    <t xml:space="preserve">2024-02-26</t>
  </si>
  <si>
    <t xml:space="preserve">49</t>
  </si>
  <si>
    <t xml:space="preserve">2024-02-28</t>
  </si>
  <si>
    <t xml:space="preserve">50</t>
  </si>
  <si>
    <t xml:space="preserve">2024-03-02</t>
  </si>
  <si>
    <t xml:space="preserve">51</t>
  </si>
  <si>
    <t xml:space="preserve">2024-03-05</t>
  </si>
  <si>
    <t xml:space="preserve">52</t>
  </si>
  <si>
    <t xml:space="preserve">2024-03-07</t>
  </si>
  <si>
    <t xml:space="preserve">53</t>
  </si>
  <si>
    <t xml:space="preserve">2024-03-09</t>
  </si>
  <si>
    <t xml:space="preserve">54</t>
  </si>
  <si>
    <t xml:space="preserve">2024-03-14</t>
  </si>
  <si>
    <t xml:space="preserve">55</t>
  </si>
  <si>
    <t xml:space="preserve">2024-03-19</t>
  </si>
  <si>
    <t xml:space="preserve">56</t>
  </si>
  <si>
    <t xml:space="preserve">57</t>
  </si>
  <si>
    <t xml:space="preserve">2024-03-21</t>
  </si>
  <si>
    <t xml:space="preserve">58</t>
  </si>
  <si>
    <t xml:space="preserve">59</t>
  </si>
  <si>
    <t xml:space="preserve">2024-03-22</t>
  </si>
  <si>
    <t xml:space="preserve">98</t>
  </si>
  <si>
    <t xml:space="preserve">2024-03-25</t>
  </si>
  <si>
    <t xml:space="preserve">yadav tent house</t>
  </si>
  <si>
    <t xml:space="preserve">60</t>
  </si>
  <si>
    <t xml:space="preserve">2024-03-28</t>
  </si>
  <si>
    <t xml:space="preserve">61</t>
  </si>
  <si>
    <t xml:space="preserve">2024-03-29</t>
  </si>
  <si>
    <t xml:space="preserve">62</t>
  </si>
  <si>
    <t xml:space="preserve">2024-04-01</t>
  </si>
  <si>
    <t xml:space="preserve">63</t>
  </si>
  <si>
    <t xml:space="preserve">2024-04-05</t>
  </si>
  <si>
    <t xml:space="preserve">64</t>
  </si>
  <si>
    <t xml:space="preserve">2024-04-07</t>
  </si>
  <si>
    <t xml:space="preserve">65</t>
  </si>
  <si>
    <t xml:space="preserve">2024-04-10</t>
  </si>
  <si>
    <t xml:space="preserve">66</t>
  </si>
  <si>
    <t xml:space="preserve">67</t>
  </si>
  <si>
    <t xml:space="preserve">2024-04-12</t>
  </si>
  <si>
    <t xml:space="preserve">68</t>
  </si>
  <si>
    <t xml:space="preserve">69</t>
  </si>
  <si>
    <t xml:space="preserve">70</t>
  </si>
  <si>
    <t xml:space="preserve">2024-04-13</t>
  </si>
  <si>
    <t xml:space="preserve">79</t>
  </si>
  <si>
    <t xml:space="preserve">2024-04-14</t>
  </si>
  <si>
    <t xml:space="preserve">71</t>
  </si>
  <si>
    <t xml:space="preserve">2024-04-17</t>
  </si>
  <si>
    <t xml:space="preserve">New shrivastav Tent Ajency</t>
  </si>
  <si>
    <t xml:space="preserve">73</t>
  </si>
  <si>
    <t xml:space="preserve">72</t>
  </si>
  <si>
    <t xml:space="preserve">2024-04-18</t>
  </si>
  <si>
    <t xml:space="preserve">74</t>
  </si>
  <si>
    <t xml:space="preserve">2024-04-19</t>
  </si>
  <si>
    <t xml:space="preserve">75</t>
  </si>
  <si>
    <t xml:space="preserve">2024-04-20</t>
  </si>
  <si>
    <t xml:space="preserve">76</t>
  </si>
  <si>
    <t xml:space="preserve">2024-04-21</t>
  </si>
  <si>
    <t xml:space="preserve">77</t>
  </si>
  <si>
    <t xml:space="preserve">2024-04-24</t>
  </si>
  <si>
    <t xml:space="preserve">78</t>
  </si>
  <si>
    <t xml:space="preserve">80</t>
  </si>
  <si>
    <t xml:space="preserve">2024-05-12</t>
  </si>
  <si>
    <t xml:space="preserve">81</t>
  </si>
  <si>
    <t xml:space="preserve">table square - 10 p aaya hajipur
green carpet- 1 p</t>
  </si>
  <si>
    <t xml:space="preserve">84</t>
  </si>
  <si>
    <t xml:space="preserve">2024-05-16</t>
  </si>
  <si>
    <t xml:space="preserve">101</t>
  </si>
  <si>
    <t xml:space="preserve">2024-05-22</t>
  </si>
  <si>
    <t xml:space="preserve">82</t>
  </si>
  <si>
    <t xml:space="preserve">2024-05-28</t>
  </si>
  <si>
    <t xml:space="preserve">83</t>
  </si>
  <si>
    <t xml:space="preserve">2024-06-05</t>
  </si>
  <si>
    <t xml:space="preserve">85</t>
  </si>
  <si>
    <t xml:space="preserve">86</t>
  </si>
  <si>
    <t xml:space="preserve">2024-06-07</t>
  </si>
  <si>
    <t xml:space="preserve">100</t>
  </si>
  <si>
    <t xml:space="preserve">2024-06-18</t>
  </si>
  <si>
    <t xml:space="preserve">87</t>
  </si>
  <si>
    <t xml:space="preserve">2024-06-22</t>
  </si>
  <si>
    <t xml:space="preserve">88</t>
  </si>
  <si>
    <t xml:space="preserve">2024-06-23</t>
  </si>
  <si>
    <t xml:space="preserve">89</t>
  </si>
  <si>
    <t xml:space="preserve">90</t>
  </si>
  <si>
    <t xml:space="preserve">2024-06-24</t>
  </si>
  <si>
    <t xml:space="preserve">91</t>
  </si>
  <si>
    <t xml:space="preserve">2024-07-05</t>
  </si>
  <si>
    <t xml:space="preserve">92</t>
  </si>
  <si>
    <t xml:space="preserve">93</t>
  </si>
  <si>
    <t xml:space="preserve">2024-07-06</t>
  </si>
  <si>
    <t xml:space="preserve">94</t>
  </si>
  <si>
    <t xml:space="preserve">95</t>
  </si>
  <si>
    <t xml:space="preserve">2024-07-10</t>
  </si>
  <si>
    <t xml:space="preserve">96</t>
  </si>
  <si>
    <t xml:space="preserve">97</t>
  </si>
  <si>
    <t xml:space="preserve">2024-07-17</t>
  </si>
  <si>
    <t xml:space="preserve">KAJLA SANTA POLY PVT LTD</t>
  </si>
  <si>
    <t xml:space="preserve">99</t>
  </si>
  <si>
    <t xml:space="preserve">2024-07-20</t>
  </si>
  <si>
    <t xml:space="preserve">102</t>
  </si>
  <si>
    <t xml:space="preserve">2024-09-11</t>
  </si>
  <si>
    <t xml:space="preserve">103</t>
  </si>
  <si>
    <t xml:space="preserve">2024-09-18</t>
  </si>
  <si>
    <t xml:space="preserve">104</t>
  </si>
  <si>
    <t xml:space="preserve">2024-09-27</t>
  </si>
  <si>
    <t xml:space="preserve">105</t>
  </si>
  <si>
    <t xml:space="preserve">2024-09-30</t>
  </si>
  <si>
    <t xml:space="preserve">106</t>
  </si>
  <si>
    <t xml:space="preserve">2024-10-01</t>
  </si>
  <si>
    <t xml:space="preserve">107</t>
  </si>
  <si>
    <t xml:space="preserve">108</t>
  </si>
  <si>
    <t xml:space="preserve">2024-10-07</t>
  </si>
  <si>
    <t xml:space="preserve">109</t>
  </si>
  <si>
    <t xml:space="preserve">110</t>
  </si>
  <si>
    <t xml:space="preserve">2024-10-13</t>
  </si>
  <si>
    <t xml:space="preserve">111</t>
  </si>
  <si>
    <t xml:space="preserve">2024-11-01</t>
  </si>
  <si>
    <t xml:space="preserve">112</t>
  </si>
  <si>
    <t xml:space="preserve">2024-11-04</t>
  </si>
  <si>
    <t xml:space="preserve">113</t>
  </si>
  <si>
    <t xml:space="preserve">2024-11-06</t>
  </si>
  <si>
    <t xml:space="preserve">114</t>
  </si>
  <si>
    <t xml:space="preserve">2024-11-12</t>
  </si>
  <si>
    <t xml:space="preserve">MANIK VILAS PALACE</t>
  </si>
  <si>
    <t xml:space="preserve">115</t>
  </si>
  <si>
    <t xml:space="preserve">2024-11-15</t>
  </si>
  <si>
    <t xml:space="preserve">116</t>
  </si>
  <si>
    <t xml:space="preserve">117</t>
  </si>
  <si>
    <t xml:space="preserve">2024-11-16</t>
  </si>
  <si>
    <t xml:space="preserve">118</t>
  </si>
  <si>
    <t xml:space="preserve">2024-11-21</t>
  </si>
  <si>
    <t xml:space="preserve">119</t>
  </si>
  <si>
    <t xml:space="preserve">2024-11-25</t>
  </si>
  <si>
    <t xml:space="preserve">120</t>
  </si>
  <si>
    <t xml:space="preserve">121</t>
  </si>
  <si>
    <t xml:space="preserve">2024-12-01</t>
  </si>
  <si>
    <t xml:space="preserve">122</t>
  </si>
  <si>
    <t xml:space="preserve">123</t>
  </si>
  <si>
    <t xml:space="preserve">2024-12-03</t>
  </si>
  <si>
    <t xml:space="preserve">124</t>
  </si>
  <si>
    <t xml:space="preserve">2024-12-16</t>
  </si>
  <si>
    <t xml:space="preserve">125</t>
  </si>
  <si>
    <t xml:space="preserve">2024-12-25</t>
  </si>
  <si>
    <t xml:space="preserve">126</t>
  </si>
  <si>
    <t xml:space="preserve">2024-12-29</t>
  </si>
  <si>
    <t xml:space="preserve">130</t>
  </si>
  <si>
    <t xml:space="preserve">2025-01-07</t>
  </si>
  <si>
    <t xml:space="preserve">127</t>
  </si>
  <si>
    <t xml:space="preserve">2025-01-12</t>
  </si>
  <si>
    <t xml:space="preserve">129</t>
  </si>
  <si>
    <t xml:space="preserve">2025-01-15</t>
  </si>
  <si>
    <t xml:space="preserve">128</t>
  </si>
  <si>
    <t xml:space="preserve">2025-01-16</t>
  </si>
  <si>
    <t xml:space="preserve">131</t>
  </si>
  <si>
    <t xml:space="preserve">2025-02-08</t>
  </si>
  <si>
    <t xml:space="preserve">132</t>
  </si>
  <si>
    <t xml:space="preserve">2025-02-15</t>
  </si>
  <si>
    <t xml:space="preserve">133</t>
  </si>
  <si>
    <t xml:space="preserve">134</t>
  </si>
  <si>
    <t xml:space="preserve">2025-02-23</t>
  </si>
  <si>
    <t xml:space="preserve">135</t>
  </si>
  <si>
    <t xml:space="preserve">2025-03-02</t>
  </si>
  <si>
    <t xml:space="preserve">136</t>
  </si>
  <si>
    <t xml:space="preserve">2025-03-05</t>
  </si>
  <si>
    <t xml:space="preserve">137</t>
  </si>
  <si>
    <t xml:space="preserve">2025-03-08</t>
  </si>
  <si>
    <t xml:space="preserve">138</t>
  </si>
  <si>
    <t xml:space="preserve">139</t>
  </si>
  <si>
    <t xml:space="preserve">2025-03-17</t>
  </si>
  <si>
    <t xml:space="preserve">Deepak DJ Sound Tent &amp; Electrical (Deepak enterprises)</t>
  </si>
  <si>
    <t xml:space="preserve">140</t>
  </si>
  <si>
    <t xml:space="preserve">2025-03-26</t>
  </si>
  <si>
    <t xml:space="preserve">141</t>
  </si>
  <si>
    <t xml:space="preserve">2025-04-03</t>
  </si>
  <si>
    <t xml:space="preserve">142</t>
  </si>
  <si>
    <t xml:space="preserve">2025-04-08</t>
  </si>
  <si>
    <t xml:space="preserve">143</t>
  </si>
  <si>
    <t xml:space="preserve">2025-04-11</t>
  </si>
  <si>
    <t xml:space="preserve">144</t>
  </si>
  <si>
    <t xml:space="preserve">2025-04-14</t>
  </si>
  <si>
    <t xml:space="preserve">145</t>
  </si>
  <si>
    <t xml:space="preserve">2025-04-19</t>
  </si>
  <si>
    <t xml:space="preserve">146</t>
  </si>
  <si>
    <t xml:space="preserve">2025-04-23</t>
  </si>
  <si>
    <t xml:space="preserve">147</t>
  </si>
  <si>
    <t xml:space="preserve">2025-05-01</t>
  </si>
  <si>
    <t xml:space="preserve">148</t>
  </si>
  <si>
    <t xml:space="preserve">2025-05-03</t>
  </si>
  <si>
    <t xml:space="preserve">149</t>
  </si>
  <si>
    <t xml:space="preserve">150</t>
  </si>
  <si>
    <t xml:space="preserve">2025-05-07</t>
  </si>
  <si>
    <t xml:space="preserve">151</t>
  </si>
  <si>
    <t xml:space="preserve">2025-05-08</t>
  </si>
  <si>
    <t xml:space="preserve">152</t>
  </si>
  <si>
    <t xml:space="preserve">2025-05-20</t>
  </si>
  <si>
    <t xml:space="preserve">154</t>
  </si>
  <si>
    <t xml:space="preserve">2025-05-27</t>
  </si>
  <si>
    <t xml:space="preserve">153</t>
  </si>
  <si>
    <t xml:space="preserve">2025-06-09</t>
  </si>
  <si>
    <t xml:space="preserve">155</t>
  </si>
  <si>
    <t xml:space="preserve">2025-07-15</t>
  </si>
  <si>
    <t xml:space="preserve">156</t>
  </si>
  <si>
    <t xml:space="preserve">2025-07-27</t>
  </si>
  <si>
    <t xml:space="preserve">157</t>
  </si>
  <si>
    <t xml:space="preserve">2025-07-31</t>
  </si>
  <si>
    <t xml:space="preserve">158</t>
  </si>
  <si>
    <t xml:space="preserve">160</t>
  </si>
  <si>
    <t xml:space="preserve">2025-09-06</t>
  </si>
  <si>
    <t xml:space="preserve">159</t>
  </si>
  <si>
    <t xml:space="preserve">2025-09-08</t>
  </si>
  <si>
    <t xml:space="preserve">161</t>
  </si>
  <si>
    <t xml:space="preserve">2025-09-14</t>
  </si>
  <si>
    <t xml:space="preserve">162</t>
  </si>
  <si>
    <t xml:space="preserve">2025-09-18</t>
  </si>
  <si>
    <t xml:space="preserve">163</t>
  </si>
  <si>
    <t xml:space="preserve">2025-10-04</t>
  </si>
  <si>
    <t xml:space="preserve">165</t>
  </si>
  <si>
    <t xml:space="preserve">2025-10-17</t>
  </si>
  <si>
    <t xml:space="preserve">lm niwar</t>
  </si>
  <si>
    <t xml:space="preserve">164</t>
  </si>
  <si>
    <t xml:space="preserve">2025-10-25</t>
  </si>
  <si>
    <t xml:space="preserve">166</t>
  </si>
  <si>
    <t xml:space="preserve">2025-11-01</t>
  </si>
  <si>
    <t xml:space="preserve">167</t>
  </si>
  <si>
    <t xml:space="preserve">2025-11-02</t>
  </si>
  <si>
    <t xml:space="preserve">168</t>
  </si>
  <si>
    <t xml:space="preserve">2025-11-11</t>
  </si>
  <si>
    <t xml:space="preserve">169</t>
  </si>
  <si>
    <t xml:space="preserve">2025-11-12</t>
  </si>
  <si>
    <t xml:space="preserve">170</t>
  </si>
  <si>
    <t xml:space="preserve">2025-11-18</t>
  </si>
  <si>
    <t xml:space="preserve">171</t>
  </si>
  <si>
    <t xml:space="preserve">2025-11-20</t>
  </si>
  <si>
    <t xml:space="preserve">172</t>
  </si>
  <si>
    <t xml:space="preserve">2025-11-23</t>
  </si>
  <si>
    <t xml:space="preserve">173</t>
  </si>
  <si>
    <t xml:space="preserve">2025-11-26</t>
  </si>
  <si>
    <t xml:space="preserve">174</t>
  </si>
  <si>
    <t xml:space="preserve">2025-11-27</t>
  </si>
  <si>
    <t xml:space="preserve">175</t>
  </si>
  <si>
    <t xml:space="preserve">2025-11-28</t>
  </si>
  <si>
    <t xml:space="preserve">176</t>
  </si>
  <si>
    <t xml:space="preserve">2025-12-02</t>
  </si>
  <si>
    <t xml:space="preserve">177</t>
  </si>
  <si>
    <t xml:space="preserve">2025-12-04</t>
  </si>
  <si>
    <t xml:space="preserve">maharaja :-12,500
hitlon aaya :-38:-9880
gadi bhada:-300</t>
  </si>
  <si>
    <t xml:space="preserve">178</t>
  </si>
  <si>
    <t xml:space="preserve">2025-12-23</t>
  </si>
  <si>
    <t xml:space="preserve">179</t>
  </si>
  <si>
    <t xml:space="preserve">2025-12-24</t>
  </si>
  <si>
    <t xml:space="preserve">180</t>
  </si>
  <si>
    <t xml:space="preserve">2025-12-27</t>
  </si>
  <si>
    <t xml:space="preserve">Total</t>
  </si>
  <si>
    <t xml:space="preserve">Kushwaha Tent Ajency — Detailed Invoice Line Items</t>
  </si>
  <si>
    <t xml:space="preserve">Itemized breakdown of products and services per sales invoice</t>
  </si>
  <si>
    <t xml:space="preserve">Customer Name</t>
  </si>
  <si>
    <t xml:space="preserve">Item Name</t>
  </si>
  <si>
    <t xml:space="preserve">Quantity</t>
  </si>
  <si>
    <t xml:space="preserve">Unit Price (₹)</t>
  </si>
  <si>
    <t xml:space="preserve">Discount (₹)</t>
  </si>
  <si>
    <t xml:space="preserve">Tax (₹)</t>
  </si>
  <si>
    <t xml:space="preserve">Line Total (₹)</t>
  </si>
  <si>
    <t xml:space="preserve">Sundaram carpet</t>
  </si>
  <si>
    <t xml:space="preserve">Plain clothes</t>
  </si>
  <si>
    <t xml:space="preserve">Net clothes</t>
  </si>
  <si>
    <t xml:space="preserve">Raj coller 150ltr CPG</t>
  </si>
  <si>
    <t xml:space="preserve">Phle ka baki paisa</t>
  </si>
  <si>
    <t xml:space="preserve">Sidhi chota</t>
  </si>
  <si>
    <t xml:space="preserve">Sidhi 10ft</t>
  </si>
  <si>
    <t xml:space="preserve">Raj coller 150 APG</t>
  </si>
  <si>
    <t xml:space="preserve">Raj cooler 150ltr white copper 3 blade</t>
  </si>
  <si>
    <t xml:space="preserve">Safeda</t>
  </si>
  <si>
    <t xml:space="preserve">Samyana</t>
  </si>
  <si>
    <t xml:space="preserve">Sidhi</t>
  </si>
  <si>
    <t xml:space="preserve">Patiya</t>
  </si>
  <si>
    <t xml:space="preserve">Table square</t>
  </si>
  <si>
    <t xml:space="preserve">Parda kamdar</t>
  </si>
  <si>
    <t xml:space="preserve">Parda karkat</t>
  </si>
  <si>
    <t xml:space="preserve">Jhalar</t>
  </si>
  <si>
    <t xml:space="preserve">Sundaram carpet red</t>
  </si>
  <si>
    <t xml:space="preserve">Sundaram carpet green</t>
  </si>
  <si>
    <t xml:space="preserve">Print cloth</t>
  </si>
  <si>
    <t xml:space="preserve">Patiya kapra wala</t>
  </si>
  <si>
    <t xml:space="preserve">Tripal 18*24</t>
  </si>
  <si>
    <t xml:space="preserve">Tripal 21*30</t>
  </si>
  <si>
    <t xml:space="preserve">Flode clothes</t>
  </si>
  <si>
    <t xml:space="preserve">Maharaja</t>
  </si>
  <si>
    <t xml:space="preserve">Chair cover</t>
  </si>
  <si>
    <t xml:space="preserve">Round cover</t>
  </si>
  <si>
    <t xml:space="preserve">Raj cooler 150ltr white copper 4 blade</t>
  </si>
  <si>
    <t xml:space="preserve">Phool seling</t>
  </si>
  <si>
    <t xml:space="preserve">Round gulaab selling</t>
  </si>
  <si>
    <t xml:space="preserve">Rani yellow selling</t>
  </si>
  <si>
    <t xml:space="preserve">Rani yellow phool seling</t>
  </si>
  <si>
    <t xml:space="preserve">5fit red and yellow cloth</t>
  </si>
  <si>
    <t xml:space="preserve">Jhumar ghanti</t>
  </si>
  <si>
    <t xml:space="preserve">Jhumar charkor</t>
  </si>
  <si>
    <t xml:space="preserve">Round jhumar</t>
  </si>
  <si>
    <t xml:space="preserve">Nagin jhumar</t>
  </si>
  <si>
    <t xml:space="preserve">3 tala jhumar</t>
  </si>
  <si>
    <t xml:space="preserve">Niwar</t>
  </si>
  <si>
    <t xml:space="preserve">On selling 10*15</t>
  </si>
  <si>
    <t xml:space="preserve">On selling 15*15</t>
  </si>
  <si>
    <t xml:space="preserve">Flower</t>
  </si>
  <si>
    <t xml:space="preserve">Kg</t>
  </si>
  <si>
    <t xml:space="preserve">Tripal 21*30 (170gsm)</t>
  </si>
  <si>
    <t xml:space="preserve">Tripal 24*30 (170 gsm)</t>
  </si>
  <si>
    <t xml:space="preserve">Tripal 18*24 (170 gsm)</t>
  </si>
  <si>
    <t xml:space="preserve">Lais</t>
  </si>
  <si>
    <t xml:space="preserve">Hathi</t>
  </si>
  <si>
    <t xml:space="preserve">On selling</t>
  </si>
  <si>
    <t xml:space="preserve">Raj cooler  white copper</t>
  </si>
  <si>
    <t xml:space="preserve">Parda sitara</t>
  </si>
  <si>
    <t xml:space="preserve">Ribbon</t>
  </si>
  <si>
    <t xml:space="preserve">Triple 24*36</t>
  </si>
  <si>
    <t xml:space="preserve">Fhiril</t>
  </si>
  <si>
    <t xml:space="preserve">clothes 5.7kg</t>
  </si>
  <si>
    <t xml:space="preserve">Triple 30*36</t>
  </si>
  <si>
    <t xml:space="preserve">Total Samman</t>
  </si>
  <si>
    <t xml:space="preserve">Jhumar plastic</t>
  </si>
  <si>
    <t xml:space="preserve">Umbrella chota</t>
  </si>
  <si>
    <t xml:space="preserve">Kalin</t>
  </si>
  <si>
    <t xml:space="preserve">Tripal 24*30</t>
  </si>
  <si>
    <t xml:space="preserve">Parda</t>
  </si>
  <si>
    <t xml:space="preserve">Copper Motor</t>
  </si>
  <si>
    <t xml:space="preserve">Aluminium Motor</t>
  </si>
  <si>
    <t xml:space="preserve">Jhalar 1ft</t>
  </si>
  <si>
    <t xml:space="preserve">Net jhalar</t>
  </si>
  <si>
    <t xml:space="preserve">Green patiya</t>
  </si>
  <si>
    <t xml:space="preserve">Kambal</t>
  </si>
  <si>
    <t xml:space="preserve">Foam With Cover</t>
  </si>
  <si>
    <t xml:space="preserve">Lala lali</t>
  </si>
  <si>
    <t xml:space="preserve">Hitlon cover</t>
  </si>
  <si>
    <t xml:space="preserve">Darban</t>
  </si>
  <si>
    <t xml:space="preserve">Round table</t>
  </si>
  <si>
    <t xml:space="preserve">Raj coller (Black)</t>
  </si>
  <si>
    <t xml:space="preserve">Chinese jhalar</t>
  </si>
  <si>
    <t xml:space="preserve">Fixal</t>
  </si>
  <si>
    <t xml:space="preserve">M/F</t>
  </si>
  <si>
    <t xml:space="preserve">SMPS</t>
  </si>
  <si>
    <t xml:space="preserve">Led board</t>
  </si>
  <si>
    <t xml:space="preserve">Led light 150W</t>
  </si>
  <si>
    <t xml:space="preserve">Led light 300W</t>
  </si>
  <si>
    <t xml:space="preserve">Jhumar crystal (M)</t>
  </si>
  <si>
    <t xml:space="preserve">Jhumar Crystal (B)</t>
  </si>
  <si>
    <t xml:space="preserve">Par light</t>
  </si>
  <si>
    <t xml:space="preserve">Data Fixal</t>
  </si>
  <si>
    <t xml:space="preserve">Clothes mtr (pila)</t>
  </si>
  <si>
    <t xml:space="preserve">Tripal 24*36</t>
  </si>
  <si>
    <t xml:space="preserve">Light 100w</t>
  </si>
  <si>
    <t xml:space="preserve">Poly max chair</t>
  </si>
  <si>
    <t xml:space="preserve">Strip light</t>
  </si>
  <si>
    <t xml:space="preserve">Round cover jhalar</t>
  </si>
  <si>
    <t xml:space="preserve">Coffee machine</t>
  </si>
  <si>
    <t xml:space="preserve">Hitlon cover saath</t>
  </si>
  <si>
    <t xml:space="preserve">Hitlon</t>
  </si>
  <si>
    <t xml:space="preserve">White safeda</t>
  </si>
  <si>
    <t xml:space="preserve">Kushwaha Tent Ajency — Payments &amp; Receipts Register</t>
  </si>
  <si>
    <t xml:space="preserve">Money receipts from customers (Payment-In) and vendor/expense disbursements (Payment-Out)</t>
  </si>
  <si>
    <t xml:space="preserve">Receipt / Ref No</t>
  </si>
  <si>
    <t xml:space="preserve">Voucher Type</t>
  </si>
  <si>
    <t xml:space="preserve">Party Name</t>
  </si>
  <si>
    <t xml:space="preserve">Amount (₹)</t>
  </si>
  <si>
    <t xml:space="preserve">Notes / Reference</t>
  </si>
  <si>
    <t xml:space="preserve">Payment In (Receipt)</t>
  </si>
  <si>
    <t xml:space="preserve">2023-04-16</t>
  </si>
  <si>
    <t xml:space="preserve">Guddu shaa</t>
  </si>
  <si>
    <t xml:space="preserve">REC-37</t>
  </si>
  <si>
    <t xml:space="preserve">2023-10-28</t>
  </si>
  <si>
    <t xml:space="preserve">Payment Out</t>
  </si>
  <si>
    <t xml:space="preserve">Tent studio</t>
  </si>
  <si>
    <t xml:space="preserve">REC-36</t>
  </si>
  <si>
    <t xml:space="preserve">2023-11-10</t>
  </si>
  <si>
    <t xml:space="preserve">2024-02-12</t>
  </si>
  <si>
    <t xml:space="preserve">2024-02-17</t>
  </si>
  <si>
    <t xml:space="preserve">Cheque</t>
  </si>
  <si>
    <t xml:space="preserve">6</t>
  </si>
  <si>
    <t xml:space="preserve">600 rajkumar thela 
400 thela 
cash -25000 received hua</t>
  </si>
  <si>
    <t xml:space="preserve">2024-02-22</t>
  </si>
  <si>
    <t xml:space="preserve">2024-02-23</t>
  </si>
  <si>
    <t xml:space="preserve">2024-03-01</t>
  </si>
  <si>
    <t xml:space="preserve">2024-03-04</t>
  </si>
  <si>
    <t xml:space="preserve">2024-03-06</t>
  </si>
  <si>
    <t xml:space="preserve">15</t>
  </si>
  <si>
    <t xml:space="preserve">2024-03-15</t>
  </si>
  <si>
    <t xml:space="preserve">2024-03-16</t>
  </si>
  <si>
    <t xml:space="preserve">2024-03-18</t>
  </si>
  <si>
    <t xml:space="preserve">2024-03-23</t>
  </si>
  <si>
    <t xml:space="preserve">2024-03-24</t>
  </si>
  <si>
    <t xml:space="preserve">2024-04-06</t>
  </si>
  <si>
    <t xml:space="preserve">chair 100p</t>
  </si>
  <si>
    <t xml:space="preserve">2024-04-11</t>
  </si>
  <si>
    <t xml:space="preserve">2024-04-15</t>
  </si>
  <si>
    <t xml:space="preserve">2024-04-22</t>
  </si>
  <si>
    <t xml:space="preserve">2024-04-23</t>
  </si>
  <si>
    <t xml:space="preserve">2024-04-25</t>
  </si>
  <si>
    <t xml:space="preserve">2024-04-28</t>
  </si>
  <si>
    <t xml:space="preserve">2024-04-29</t>
  </si>
  <si>
    <t xml:space="preserve">2024-04-30</t>
  </si>
  <si>
    <t xml:space="preserve">2024-05-02</t>
  </si>
  <si>
    <t xml:space="preserve">gadi bhada or tampu bada or parda solve total bada</t>
  </si>
  <si>
    <t xml:space="preserve">2024-05-03</t>
  </si>
  <si>
    <t xml:space="preserve">2024-05-07</t>
  </si>
  <si>
    <t xml:space="preserve">2024-05-09</t>
  </si>
  <si>
    <t xml:space="preserve">2024-05-13</t>
  </si>
  <si>
    <t xml:space="preserve">Add Mahnar se hajipur tampu bhada -500</t>
  </si>
  <si>
    <t xml:space="preserve">2024-05-21</t>
  </si>
  <si>
    <t xml:space="preserve">2024-06-06</t>
  </si>
  <si>
    <t xml:space="preserve">cash+A/c</t>
  </si>
  <si>
    <t xml:space="preserve">2024-06-19</t>
  </si>
  <si>
    <t xml:space="preserve">2024-06-21</t>
  </si>
  <si>
    <t xml:space="preserve">auto+ gadi bhada chair ka</t>
  </si>
  <si>
    <t xml:space="preserve">2024-07-02</t>
  </si>
  <si>
    <t xml:space="preserve">2024-07-03</t>
  </si>
  <si>
    <t xml:space="preserve">payment chair wala</t>
  </si>
  <si>
    <t xml:space="preserve">2024-07-07</t>
  </si>
  <si>
    <t xml:space="preserve">char wala ko bheja gya</t>
  </si>
  <si>
    <t xml:space="preserve">2024-07-08</t>
  </si>
  <si>
    <t xml:space="preserve">chair ka paisa</t>
  </si>
  <si>
    <t xml:space="preserve">2024-07-14</t>
  </si>
  <si>
    <t xml:space="preserve">2024-07-16</t>
  </si>
  <si>
    <t xml:space="preserve">2024-07-18</t>
  </si>
  <si>
    <t xml:space="preserve">2024-07-21</t>
  </si>
  <si>
    <t xml:space="preserve">online+ Cash</t>
  </si>
  <si>
    <t xml:space="preserve">2024-07-26</t>
  </si>
  <si>
    <t xml:space="preserve">2024-07-29</t>
  </si>
  <si>
    <t xml:space="preserve">2024-08-10</t>
  </si>
  <si>
    <t xml:space="preserve">2024-09-01</t>
  </si>
  <si>
    <t xml:space="preserve">2024-09-04</t>
  </si>
  <si>
    <t xml:space="preserve">2024-09-22</t>
  </si>
  <si>
    <t xml:space="preserve">2024-09-24</t>
  </si>
  <si>
    <t xml:space="preserve">2024-10-04</t>
  </si>
  <si>
    <t xml:space="preserve">2024-10-09</t>
  </si>
  <si>
    <t xml:space="preserve">2024-10-20</t>
  </si>
  <si>
    <t xml:space="preserve">chair ka payment</t>
  </si>
  <si>
    <t xml:space="preserve">2024-10-21</t>
  </si>
  <si>
    <t xml:space="preserve">2024-10-27</t>
  </si>
  <si>
    <t xml:space="preserve">A/c kisi or ke bheje name :- Amaan malik</t>
  </si>
  <si>
    <t xml:space="preserve">2024-11-02</t>
  </si>
  <si>
    <t xml:space="preserve">aman malik</t>
  </si>
  <si>
    <t xml:space="preserve">harsh kumar</t>
  </si>
  <si>
    <t xml:space="preserve">2024-11-08</t>
  </si>
  <si>
    <t xml:space="preserve">mosa</t>
  </si>
  <si>
    <t xml:space="preserve">2024-11-09</t>
  </si>
  <si>
    <t xml:space="preserve">chair booking</t>
  </si>
  <si>
    <t xml:space="preserve">2024-11-17</t>
  </si>
  <si>
    <t xml:space="preserve">2024-11-18</t>
  </si>
  <si>
    <t xml:space="preserve">2024-11-22</t>
  </si>
  <si>
    <t xml:space="preserve">2024-11-26</t>
  </si>
  <si>
    <t xml:space="preserve">2024-11-29</t>
  </si>
  <si>
    <t xml:space="preserve">2024-11-30</t>
  </si>
  <si>
    <t xml:space="preserve">gita devi</t>
  </si>
  <si>
    <t xml:space="preserve">chair bill lord budha</t>
  </si>
  <si>
    <t xml:space="preserve">national chair</t>
  </si>
  <si>
    <t xml:space="preserve">2024-12-09</t>
  </si>
  <si>
    <t xml:space="preserve">2024-12-10</t>
  </si>
  <si>
    <t xml:space="preserve">2024-12-19</t>
  </si>
  <si>
    <t xml:space="preserve">2024-12-26</t>
  </si>
  <si>
    <t xml:space="preserve">2024-12-27</t>
  </si>
  <si>
    <t xml:space="preserve">sunny A/c</t>
  </si>
  <si>
    <t xml:space="preserve">2024-12-30</t>
  </si>
  <si>
    <t xml:space="preserve">2024-12-31</t>
  </si>
  <si>
    <t xml:space="preserve">gita devi , Rk , mahakal</t>
  </si>
  <si>
    <t xml:space="preserve">2025-01-06</t>
  </si>
  <si>
    <t xml:space="preserve">08/07/2024 to 18/12/2024 Fright</t>
  </si>
  <si>
    <t xml:space="preserve">2025-01-09</t>
  </si>
  <si>
    <t xml:space="preserve">2025-01-20</t>
  </si>
  <si>
    <t xml:space="preserve">2025-01-27</t>
  </si>
  <si>
    <t xml:space="preserve">2025-01-28</t>
  </si>
  <si>
    <t xml:space="preserve">2025-01-29</t>
  </si>
  <si>
    <t xml:space="preserve">2025-01-31</t>
  </si>
  <si>
    <t xml:space="preserve">2025-02-05</t>
  </si>
  <si>
    <t xml:space="preserve">2025-02-12</t>
  </si>
  <si>
    <t xml:space="preserve">2025-02-20</t>
  </si>
  <si>
    <t xml:space="preserve">2025-02-22</t>
  </si>
  <si>
    <t xml:space="preserve">jai balaji</t>
  </si>
  <si>
    <t xml:space="preserve">2025-02-24</t>
  </si>
  <si>
    <t xml:space="preserve">2025-02-28</t>
  </si>
  <si>
    <t xml:space="preserve">2025-03-13</t>
  </si>
  <si>
    <t xml:space="preserve">2025-03-19</t>
  </si>
  <si>
    <t xml:space="preserve">2025-03-22</t>
  </si>
  <si>
    <t xml:space="preserve">2025-03-23</t>
  </si>
  <si>
    <t xml:space="preserve">light me payment</t>
  </si>
  <si>
    <t xml:space="preserve">2025-03-27</t>
  </si>
  <si>
    <t xml:space="preserve">cash +ac</t>
  </si>
  <si>
    <t xml:space="preserve">cash Rakesh mama or ham liye or aap laaye</t>
  </si>
  <si>
    <t xml:space="preserve">phone pay sunny kumar</t>
  </si>
  <si>
    <t xml:space="preserve">chair booking nageen traders</t>
  </si>
  <si>
    <t xml:space="preserve">2025-04-15</t>
  </si>
  <si>
    <t xml:space="preserve">chair booking ka</t>
  </si>
  <si>
    <t xml:space="preserve">2025-04-16</t>
  </si>
  <si>
    <t xml:space="preserve">2025-04-17</t>
  </si>
  <si>
    <t xml:space="preserve">mummy pe</t>
  </si>
  <si>
    <t xml:space="preserve">2025-04-22</t>
  </si>
  <si>
    <t xml:space="preserve">papa ko</t>
  </si>
  <si>
    <t xml:space="preserve">chotu Account</t>
  </si>
  <si>
    <t xml:space="preserve">2025-04-24</t>
  </si>
  <si>
    <t xml:space="preserve">raj Ratan</t>
  </si>
  <si>
    <t xml:space="preserve">2025-04-25</t>
  </si>
  <si>
    <t xml:space="preserve">Raj ratan</t>
  </si>
  <si>
    <t xml:space="preserve">2025-04-30</t>
  </si>
  <si>
    <t xml:space="preserve">2025-05-02</t>
  </si>
  <si>
    <t xml:space="preserve">2025-05-05</t>
  </si>
  <si>
    <t xml:space="preserve">2025-05-06</t>
  </si>
  <si>
    <t xml:space="preserve">2025-05-11</t>
  </si>
  <si>
    <t xml:space="preserve">2025-05-18</t>
  </si>
  <si>
    <t xml:space="preserve">Gulshan bhaiya ko</t>
  </si>
  <si>
    <t xml:space="preserve">2025-05-21</t>
  </si>
  <si>
    <t xml:space="preserve">2025-05-24</t>
  </si>
  <si>
    <t xml:space="preserve">2025-06-04</t>
  </si>
  <si>
    <t xml:space="preserve">papa ke account</t>
  </si>
  <si>
    <t xml:space="preserve">papa ke account pe 14000/+86000</t>
  </si>
  <si>
    <t xml:space="preserve">2025-06-11</t>
  </si>
  <si>
    <t xml:space="preserve">2025-06-12</t>
  </si>
  <si>
    <t xml:space="preserve">2025-07-23</t>
  </si>
  <si>
    <t xml:space="preserve">2025-08-18</t>
  </si>
  <si>
    <t xml:space="preserve">2025-09-15</t>
  </si>
  <si>
    <t xml:space="preserve">cash staff</t>
  </si>
  <si>
    <t xml:space="preserve">2025-09-21</t>
  </si>
  <si>
    <t xml:space="preserve">maosa ke :- 10000
mama papa ko diye or ac</t>
  </si>
  <si>
    <t xml:space="preserve">2025-10-07</t>
  </si>
  <si>
    <t xml:space="preserve">kushwaha tent ajency</t>
  </si>
  <si>
    <t xml:space="preserve">181</t>
  </si>
  <si>
    <t xml:space="preserve">prakash textile</t>
  </si>
  <si>
    <t xml:space="preserve">182</t>
  </si>
  <si>
    <t xml:space="preserve">2025-10-22</t>
  </si>
  <si>
    <t xml:space="preserve">A/c</t>
  </si>
  <si>
    <t xml:space="preserve">183</t>
  </si>
  <si>
    <t xml:space="preserve">sidhi wala ke payment</t>
  </si>
  <si>
    <t xml:space="preserve">184</t>
  </si>
  <si>
    <t xml:space="preserve">185</t>
  </si>
  <si>
    <t xml:space="preserve">cash papa ko</t>
  </si>
  <si>
    <t xml:space="preserve">186</t>
  </si>
  <si>
    <t xml:space="preserve">2025-11-03</t>
  </si>
  <si>
    <t xml:space="preserve">Other Account</t>
  </si>
  <si>
    <t xml:space="preserve">jagdamba enterprises</t>
  </si>
  <si>
    <t xml:space="preserve">187</t>
  </si>
  <si>
    <t xml:space="preserve">2025-11-09</t>
  </si>
  <si>
    <t xml:space="preserve">Mahakal enterprises</t>
  </si>
  <si>
    <t xml:space="preserve">188</t>
  </si>
  <si>
    <t xml:space="preserve">2025-11-10</t>
  </si>
  <si>
    <t xml:space="preserve">sunny ko</t>
  </si>
  <si>
    <t xml:space="preserve">189</t>
  </si>
  <si>
    <t xml:space="preserve">190</t>
  </si>
  <si>
    <t xml:space="preserve">2025-11-13</t>
  </si>
  <si>
    <t xml:space="preserve">Ajay traders</t>
  </si>
  <si>
    <t xml:space="preserve">191</t>
  </si>
  <si>
    <t xml:space="preserve">192</t>
  </si>
  <si>
    <t xml:space="preserve">2025-11-14</t>
  </si>
  <si>
    <t xml:space="preserve">kiran devi</t>
  </si>
  <si>
    <t xml:space="preserve">193</t>
  </si>
  <si>
    <t xml:space="preserve">2025-11-17</t>
  </si>
  <si>
    <t xml:space="preserve">194</t>
  </si>
  <si>
    <t xml:space="preserve">sunny</t>
  </si>
  <si>
    <t xml:space="preserve">195</t>
  </si>
  <si>
    <t xml:space="preserve">196</t>
  </si>
  <si>
    <t xml:space="preserve">197</t>
  </si>
  <si>
    <t xml:space="preserve">2025-11-29</t>
  </si>
  <si>
    <t xml:space="preserve">sunny Kumar</t>
  </si>
  <si>
    <t xml:space="preserve">198</t>
  </si>
  <si>
    <t xml:space="preserve">2025-12-08</t>
  </si>
  <si>
    <t xml:space="preserve">New prakash textile</t>
  </si>
  <si>
    <t xml:space="preserve">199</t>
  </si>
  <si>
    <t xml:space="preserve">khatu shree</t>
  </si>
  <si>
    <t xml:space="preserve">200</t>
  </si>
  <si>
    <t xml:space="preserve">201</t>
  </si>
  <si>
    <t xml:space="preserve">2025-12-11</t>
  </si>
  <si>
    <t xml:space="preserve">202</t>
  </si>
  <si>
    <t xml:space="preserve">2025-12-20</t>
  </si>
  <si>
    <t xml:space="preserve">triple cheque</t>
  </si>
  <si>
    <t xml:space="preserve">203</t>
  </si>
  <si>
    <t xml:space="preserve">papa</t>
  </si>
  <si>
    <t xml:space="preserve">204</t>
  </si>
  <si>
    <t xml:space="preserve">205</t>
  </si>
  <si>
    <t xml:space="preserve">ghee 
bada 
400 
+200</t>
  </si>
  <si>
    <t xml:space="preserve">206</t>
  </si>
  <si>
    <t xml:space="preserve">2025-12-29</t>
  </si>
  <si>
    <t xml:space="preserve">delhi light</t>
  </si>
  <si>
    <t xml:space="preserve">207</t>
  </si>
  <si>
    <t xml:space="preserve">208</t>
  </si>
  <si>
    <t xml:space="preserve">209</t>
  </si>
  <si>
    <t xml:space="preserve">210</t>
  </si>
  <si>
    <t xml:space="preserve">2025-12-30</t>
  </si>
  <si>
    <t xml:space="preserve">vishu bansal light delhi</t>
  </si>
  <si>
    <t xml:space="preserve">Kushwaha Tent Ajency — Parties &amp; Customer Accounts</t>
  </si>
  <si>
    <t xml:space="preserve">Customer, supplier, and expense account balances, contact details, and transaction history</t>
  </si>
  <si>
    <t xml:space="preserve">Party Type</t>
  </si>
  <si>
    <t xml:space="preserve">Phone Number</t>
  </si>
  <si>
    <t xml:space="preserve">Address / City</t>
  </si>
  <si>
    <t xml:space="preserve">State</t>
  </si>
  <si>
    <t xml:space="preserve">GSTIN</t>
  </si>
  <si>
    <t xml:space="preserve">Customer</t>
  </si>
  <si>
    <t xml:space="preserve">Bihar</t>
  </si>
  <si>
    <t xml:space="preserve">BHAGWANPUR N/A WARD NO-13 Bhagwanpur</t>
  </si>
  <si>
    <t xml:space="preserve">10BSJPK0507N1ZY</t>
  </si>
  <si>
    <t xml:space="preserve">JPK ENTERPRISES 01 Rasulpur fatah, Mahua Rasulpur Fateh</t>
  </si>
  <si>
    <t xml:space="preserve">10ARYPK2680H1ZL</t>
  </si>
  <si>
    <t xml:space="preserve">GROUND NAWADA KALA WARD NO 45 NAWADA KALA WARD NO 45 NAWADA KALA WARD NO 45 Hajipur</t>
  </si>
  <si>
    <t xml:space="preserve">10GDUPK8458K1ZT</t>
  </si>
  <si>
    <t xml:space="preserve">9798456561</t>
  </si>
  <si>
    <t xml:space="preserve">9507894145</t>
  </si>
  <si>
    <t xml:space="preserve">9955663239</t>
  </si>
  <si>
    <t xml:space="preserve">9304125514</t>
  </si>
  <si>
    <t xml:space="preserve">HNO 503 BINDA COLONY JAKARIYAPUR CHOTI PAHARI PATNA</t>
  </si>
  <si>
    <t xml:space="preserve">10AAGCK4338Q1ZB</t>
  </si>
  <si>
    <t xml:space="preserve">9430273509</t>
  </si>
  <si>
    <t xml:space="preserve">9801642702</t>
  </si>
  <si>
    <t xml:space="preserve">81143 31382</t>
  </si>
  <si>
    <t xml:space="preserve">8882846062</t>
  </si>
  <si>
    <t xml:space="preserve">6206611794</t>
  </si>
  <si>
    <t xml:space="preserve">7766082611</t>
  </si>
  <si>
    <t xml:space="preserve">9955194703</t>
  </si>
  <si>
    <t xml:space="preserve">9835627912</t>
  </si>
  <si>
    <t xml:space="preserve">9060722127</t>
  </si>
  <si>
    <t xml:space="preserve">95340 42000</t>
  </si>
  <si>
    <t xml:space="preserve">MANIK COMPLEX, HAJIPUR JADHUA ROAD, HAJIPUR Hajipur</t>
  </si>
  <si>
    <t xml:space="preserve">10AELPP2208N1ZJ</t>
  </si>
  <si>
    <t xml:space="preserve">Petrol</t>
  </si>
  <si>
    <t xml:space="preserve">Supplier</t>
  </si>
  <si>
    <t xml:space="preserve">Transport</t>
  </si>
  <si>
    <t xml:space="preserve">Salary</t>
  </si>
  <si>
    <t xml:space="preserve">Rent</t>
  </si>
  <si>
    <t xml:space="preserve">Tea</t>
  </si>
  <si>
    <t xml:space="preserve">shree steel</t>
  </si>
  <si>
    <t xml:space="preserve">morya tent ajency</t>
  </si>
  <si>
    <t xml:space="preserve">Avdesh</t>
  </si>
  <si>
    <t xml:space="preserve">Pawan tent ajency</t>
  </si>
  <si>
    <t xml:space="preserve">99317 83542</t>
  </si>
  <si>
    <t xml:space="preserve">9931083840</t>
  </si>
  <si>
    <t xml:space="preserve">Kushwaha Tent Ajency — Product Catalog &amp; Stock Inventory</t>
  </si>
  <si>
    <t xml:space="preserve">Inventory of tent materials, cloth, chairs, electricals, coolers, and spare parts</t>
  </si>
  <si>
    <t xml:space="preserve">Item Code</t>
  </si>
  <si>
    <t xml:space="preserve">Sale Price (₹)</t>
  </si>
  <si>
    <t xml:space="preserve">Purchase Price (₹)</t>
  </si>
  <si>
    <t xml:space="preserve">Stock Quantity</t>
  </si>
  <si>
    <t xml:space="preserve">Stock Value (₹)</t>
  </si>
  <si>
    <t xml:space="preserve">Status</t>
  </si>
  <si>
    <t xml:space="preserve">ITM-048</t>
  </si>
  <si>
    <t xml:space="preserve">Active</t>
  </si>
  <si>
    <t xml:space="preserve">ITM-044</t>
  </si>
  <si>
    <t xml:space="preserve">ITM-075</t>
  </si>
  <si>
    <t xml:space="preserve">ITM-015</t>
  </si>
  <si>
    <t xml:space="preserve">ITM-002</t>
  </si>
  <si>
    <t xml:space="preserve">ITM-029</t>
  </si>
  <si>
    <t xml:space="preserve">ITM-003</t>
  </si>
  <si>
    <t xml:space="preserve">ITM-089</t>
  </si>
  <si>
    <t xml:space="preserve">ITM-055</t>
  </si>
  <si>
    <t xml:space="preserve">ITM-099</t>
  </si>
  <si>
    <t xml:space="preserve">ITM-104</t>
  </si>
  <si>
    <t xml:space="preserve">ITM-074</t>
  </si>
  <si>
    <t xml:space="preserve">ITM-084</t>
  </si>
  <si>
    <t xml:space="preserve">ITM-004</t>
  </si>
  <si>
    <t xml:space="preserve">ITM-098</t>
  </si>
  <si>
    <t xml:space="preserve">ITM-064</t>
  </si>
  <si>
    <t xml:space="preserve">ITM-090</t>
  </si>
  <si>
    <t xml:space="preserve">ITM-034</t>
  </si>
  <si>
    <t xml:space="preserve">ITM-054</t>
  </si>
  <si>
    <t xml:space="preserve">ITM-081</t>
  </si>
  <si>
    <t xml:space="preserve">ITM-078</t>
  </si>
  <si>
    <t xml:space="preserve">ITM-060</t>
  </si>
  <si>
    <t xml:space="preserve">ITM-106</t>
  </si>
  <si>
    <t xml:space="preserve">ITM-083</t>
  </si>
  <si>
    <t xml:space="preserve">ITM-105</t>
  </si>
  <si>
    <t xml:space="preserve">ITM-006</t>
  </si>
  <si>
    <t xml:space="preserve">ITM-076</t>
  </si>
  <si>
    <t xml:space="preserve">ITM-095</t>
  </si>
  <si>
    <t xml:space="preserve">ITM-046</t>
  </si>
  <si>
    <t xml:space="preserve">ITM-094</t>
  </si>
  <si>
    <t xml:space="preserve">ITM-045</t>
  </si>
  <si>
    <t xml:space="preserve">ITM-069</t>
  </si>
  <si>
    <t xml:space="preserve">ITM-071</t>
  </si>
  <si>
    <t xml:space="preserve">ITM-079</t>
  </si>
  <si>
    <t xml:space="preserve">ITM-016</t>
  </si>
  <si>
    <t xml:space="preserve">Khatu shree clothes</t>
  </si>
  <si>
    <t xml:space="preserve">ITM-059</t>
  </si>
  <si>
    <t xml:space="preserve">ITM-082</t>
  </si>
  <si>
    <t xml:space="preserve">ITM-086</t>
  </si>
  <si>
    <t xml:space="preserve">ITM-093</t>
  </si>
  <si>
    <t xml:space="preserve">ITM-092</t>
  </si>
  <si>
    <t xml:space="preserve">ITM-101</t>
  </si>
  <si>
    <t xml:space="preserve">ITM-091</t>
  </si>
  <si>
    <t xml:space="preserve">ITM-037</t>
  </si>
  <si>
    <t xml:space="preserve">ITM-049</t>
  </si>
  <si>
    <t xml:space="preserve">ITM-005</t>
  </si>
  <si>
    <t xml:space="preserve">ITM-077</t>
  </si>
  <si>
    <t xml:space="preserve">ITM-050</t>
  </si>
  <si>
    <t xml:space="preserve">ITM-051</t>
  </si>
  <si>
    <t xml:space="preserve">ITM-052</t>
  </si>
  <si>
    <t xml:space="preserve">ITM-053</t>
  </si>
  <si>
    <t xml:space="preserve">ITM-096</t>
  </si>
  <si>
    <t xml:space="preserve">ITM-073</t>
  </si>
  <si>
    <t xml:space="preserve">ITM-026</t>
  </si>
  <si>
    <t xml:space="preserve">ITM-027</t>
  </si>
  <si>
    <t xml:space="preserve">ITM-061</t>
  </si>
  <si>
    <t xml:space="preserve">ITM-017</t>
  </si>
  <si>
    <t xml:space="preserve">ITM-031</t>
  </si>
  <si>
    <t xml:space="preserve">ITM-013</t>
  </si>
  <si>
    <t xml:space="preserve">ITM-040</t>
  </si>
  <si>
    <t xml:space="preserve">ITM-001</t>
  </si>
  <si>
    <t xml:space="preserve">ITM-012</t>
  </si>
  <si>
    <t xml:space="preserve">ITM-102</t>
  </si>
  <si>
    <t xml:space="preserve">ITM-028</t>
  </si>
  <si>
    <t xml:space="preserve">ITM-030</t>
  </si>
  <si>
    <t xml:space="preserve">ITM-087</t>
  </si>
  <si>
    <t xml:space="preserve">Raj coller</t>
  </si>
  <si>
    <t xml:space="preserve">ITM-088</t>
  </si>
  <si>
    <t xml:space="preserve">ITM-008</t>
  </si>
  <si>
    <t xml:space="preserve">ITM-009</t>
  </si>
  <si>
    <t xml:space="preserve">ITM-065</t>
  </si>
  <si>
    <t xml:space="preserve">ITM-014</t>
  </si>
  <si>
    <t xml:space="preserve">ITM-022</t>
  </si>
  <si>
    <t xml:space="preserve">ITM-039</t>
  </si>
  <si>
    <t xml:space="preserve">ITM-043</t>
  </si>
  <si>
    <t xml:space="preserve">ITM-042</t>
  </si>
  <si>
    <t xml:space="preserve">ITM-062</t>
  </si>
  <si>
    <t xml:space="preserve">ITM-038</t>
  </si>
  <si>
    <t xml:space="preserve">ITM-080</t>
  </si>
  <si>
    <t xml:space="preserve">ITM-041</t>
  </si>
  <si>
    <t xml:space="preserve">ITM-047</t>
  </si>
  <si>
    <t xml:space="preserve">ITM-085</t>
  </si>
  <si>
    <t xml:space="preserve">ITM-097</t>
  </si>
  <si>
    <t xml:space="preserve">ITM-007</t>
  </si>
  <si>
    <t xml:space="preserve">ITM-023</t>
  </si>
  <si>
    <t xml:space="preserve">ITM-018</t>
  </si>
  <si>
    <t xml:space="preserve">ITM-021</t>
  </si>
  <si>
    <t xml:space="preserve">ITM-020</t>
  </si>
  <si>
    <t xml:space="preserve">Sidhi 12ft</t>
  </si>
  <si>
    <t xml:space="preserve">ITM-019</t>
  </si>
  <si>
    <t xml:space="preserve">ITM-103</t>
  </si>
  <si>
    <t xml:space="preserve">ITM-010</t>
  </si>
  <si>
    <t xml:space="preserve">ITM-036</t>
  </si>
  <si>
    <t xml:space="preserve">ITM-035</t>
  </si>
  <si>
    <t xml:space="preserve">ITM-025</t>
  </si>
  <si>
    <t xml:space="preserve">ITM-068</t>
  </si>
  <si>
    <t xml:space="preserve">ITM-032</t>
  </si>
  <si>
    <t xml:space="preserve">ITM-058</t>
  </si>
  <si>
    <t xml:space="preserve">ITM-033</t>
  </si>
  <si>
    <t xml:space="preserve">ITM-056</t>
  </si>
  <si>
    <t xml:space="preserve">ITM-072</t>
  </si>
  <si>
    <t xml:space="preserve">ITM-057</t>
  </si>
  <si>
    <t xml:space="preserve">ITM-100</t>
  </si>
  <si>
    <t xml:space="preserve">ITM-063</t>
  </si>
  <si>
    <t xml:space="preserve">ITM-067</t>
  </si>
  <si>
    <t xml:space="preserve">ITM-070</t>
  </si>
  <si>
    <t xml:space="preserve">ITM-011</t>
  </si>
  <si>
    <t xml:space="preserve">ITM-107</t>
  </si>
  <si>
    <t xml:space="preserve">ITM-024</t>
  </si>
  <si>
    <t xml:space="preserve">ITM-066</t>
  </si>
  <si>
    <t xml:space="preserve">Kushwaha Tent Ajency — Complete Transactions Register</t>
  </si>
  <si>
    <t xml:space="preserve">Chronological audit of all 391 business transactions (Sales, Receipts, Payments, Returns)</t>
  </si>
  <si>
    <t xml:space="preserve">Txn ID</t>
  </si>
  <si>
    <t xml:space="preserve">Ref / Inv No</t>
  </si>
  <si>
    <t xml:space="preserve">Inflow / Credit (₹)</t>
  </si>
  <si>
    <t xml:space="preserve">Outflow / Debit (₹)</t>
  </si>
  <si>
    <t xml:space="preserve">Balance Amount (₹)</t>
  </si>
  <si>
    <t xml:space="preserve">Description / Remarks</t>
  </si>
  <si>
    <t xml:space="preserve">Sale</t>
  </si>
  <si>
    <t xml:space="preserve">2023-09-09</t>
  </si>
  <si>
    <t xml:space="preserve">Delivery Challan</t>
  </si>
  <si>
    <t xml:space="preserve">TXN-37</t>
  </si>
  <si>
    <t xml:space="preserve">TXN-36</t>
  </si>
  <si>
    <t xml:space="preserve">Sale Return (Credit Note)</t>
  </si>
  <si>
    <t xml:space="preserve">200 hajipur
100 jandha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</si>
</sst>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9.5"/>
      <color rgb="FF595959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F9FAFB"/>
        <bgColor rgb="FFFFFFFF"/>
      </patternFill>
    </fill>
    <fill>
      <patternFill patternType="solid">
        <fgColor rgb="FF2F5597"/>
        <bgColor rgb="FF1F4E79"/>
      </patternFill>
    </fill>
    <fill>
      <patternFill patternType="solid">
        <fgColor rgb="FFF2F4F7"/>
        <bgColor rgb="FFF9FA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thin">
        <color rgb="FF1F4E7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F2F4F7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24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</row>
    <row r="5" customFormat="false" ht="21.75" hidden="false" customHeight="true" outlineLevel="0" collapsed="false">
      <c r="A5" s="4" t="s">
        <v>3</v>
      </c>
    </row>
    <row r="6" customFormat="false" ht="21.7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19.5" hidden="false" customHeight="true" outlineLevel="0" collapsed="false">
      <c r="A7" s="6" t="s">
        <v>8</v>
      </c>
      <c r="B7" s="7" t="n">
        <f aca="false">'Sales Invoices'!E183</f>
        <v>15303831.01</v>
      </c>
      <c r="C7" s="8" t="s">
        <v>9</v>
      </c>
      <c r="D7" s="9" t="s">
        <v>10</v>
      </c>
    </row>
    <row r="8" customFormat="false" ht="19.5" hidden="false" customHeight="true" outlineLevel="0" collapsed="false">
      <c r="A8" s="10" t="s">
        <v>11</v>
      </c>
      <c r="B8" s="11" t="n">
        <f aca="false">'Sales Invoices'!F183</f>
        <v>1025389</v>
      </c>
      <c r="C8" s="12" t="s">
        <v>12</v>
      </c>
      <c r="D8" s="13" t="s">
        <v>13</v>
      </c>
    </row>
    <row r="9" customFormat="false" ht="19.5" hidden="false" customHeight="true" outlineLevel="0" collapsed="false">
      <c r="A9" s="6" t="s">
        <v>14</v>
      </c>
      <c r="B9" s="7" t="n">
        <f aca="false">'Sales Invoices'!G183</f>
        <v>14278442.01</v>
      </c>
      <c r="C9" s="8" t="s">
        <v>15</v>
      </c>
      <c r="D9" s="9" t="s">
        <v>16</v>
      </c>
    </row>
    <row r="10" customFormat="false" ht="19.5" hidden="false" customHeight="true" outlineLevel="0" collapsed="false">
      <c r="A10" s="10" t="s">
        <v>17</v>
      </c>
      <c r="B10" s="11" t="n">
        <f aca="false">SUMIF('Payments &amp; Receipts'!D5:D215,"Payment In (Receipt)",'Payments &amp; Receipts'!F5:F215)</f>
        <v>9576476</v>
      </c>
      <c r="C10" s="12" t="s">
        <v>18</v>
      </c>
      <c r="D10" s="13" t="s">
        <v>19</v>
      </c>
    </row>
    <row r="11" customFormat="false" ht="19.5" hidden="false" customHeight="true" outlineLevel="0" collapsed="false">
      <c r="A11" s="6" t="s">
        <v>20</v>
      </c>
      <c r="B11" s="7" t="n">
        <f aca="false">SUMIF('Payments &amp; Receipts'!D5:D215,"Payment Out",'Payments &amp; Receipts'!F5:F215)</f>
        <v>250000</v>
      </c>
      <c r="C11" s="8" t="s">
        <v>18</v>
      </c>
      <c r="D11" s="9" t="s">
        <v>21</v>
      </c>
    </row>
    <row r="12" customFormat="false" ht="19.5" hidden="false" customHeight="true" outlineLevel="0" collapsed="false">
      <c r="A12" s="10" t="s">
        <v>22</v>
      </c>
      <c r="B12" s="11" t="n">
        <f aca="false">'Parties Ledger'!H42</f>
        <v>4875466.01</v>
      </c>
      <c r="C12" s="12" t="s">
        <v>23</v>
      </c>
      <c r="D12" s="13" t="s">
        <v>24</v>
      </c>
    </row>
    <row r="13" customFormat="false" ht="19.5" hidden="false" customHeight="true" outlineLevel="0" collapsed="false">
      <c r="A13" s="6" t="s">
        <v>25</v>
      </c>
      <c r="B13" s="14" t="n">
        <f aca="false">COUNTA('Item Master &amp; Stock'!C5:C111)</f>
        <v>107</v>
      </c>
      <c r="C13" s="8" t="s">
        <v>26</v>
      </c>
      <c r="D13" s="9" t="s">
        <v>27</v>
      </c>
    </row>
    <row r="14" customFormat="false" ht="19.5" hidden="false" customHeight="true" outlineLevel="0" collapsed="false">
      <c r="A14" s="10" t="s">
        <v>28</v>
      </c>
      <c r="B14" s="15" t="n">
        <f aca="false">COUNTA('Parties Ledger'!B5:B41)</f>
        <v>37</v>
      </c>
      <c r="C14" s="12" t="s">
        <v>29</v>
      </c>
      <c r="D14" s="13" t="s">
        <v>30</v>
      </c>
    </row>
    <row r="17" customFormat="false" ht="21.75" hidden="false" customHeight="true" outlineLevel="0" collapsed="false">
      <c r="A17" s="4" t="s">
        <v>31</v>
      </c>
    </row>
    <row r="18" customFormat="false" ht="21.75" hidden="false" customHeight="true" outlineLevel="0" collapsed="false">
      <c r="A18" s="16" t="s">
        <v>32</v>
      </c>
      <c r="B18" s="16" t="s">
        <v>33</v>
      </c>
      <c r="C18" s="16" t="s">
        <v>34</v>
      </c>
      <c r="D18" s="16" t="s">
        <v>35</v>
      </c>
      <c r="E18" s="16" t="s">
        <v>36</v>
      </c>
      <c r="F18" s="16" t="s">
        <v>37</v>
      </c>
    </row>
    <row r="19" customFormat="false" ht="18.75" hidden="false" customHeight="true" outlineLevel="0" collapsed="false">
      <c r="A19" s="17" t="n">
        <v>1</v>
      </c>
      <c r="B19" s="9" t="s">
        <v>38</v>
      </c>
      <c r="C19" s="18" t="s">
        <v>39</v>
      </c>
      <c r="D19" s="17" t="n">
        <v>77</v>
      </c>
      <c r="E19" s="19" t="n">
        <v>8996661.76</v>
      </c>
      <c r="F19" s="19" t="n">
        <v>894263.76</v>
      </c>
    </row>
    <row r="20" customFormat="false" ht="18.75" hidden="false" customHeight="true" outlineLevel="0" collapsed="false">
      <c r="A20" s="20" t="n">
        <v>2</v>
      </c>
      <c r="B20" s="13" t="s">
        <v>40</v>
      </c>
      <c r="C20" s="21" t="s">
        <v>41</v>
      </c>
      <c r="D20" s="20" t="n">
        <v>22</v>
      </c>
      <c r="E20" s="22" t="n">
        <v>2033948.27</v>
      </c>
      <c r="F20" s="22" t="n">
        <v>2033948.27</v>
      </c>
    </row>
    <row r="21" customFormat="false" ht="18.75" hidden="false" customHeight="true" outlineLevel="0" collapsed="false">
      <c r="A21" s="17" t="n">
        <v>3</v>
      </c>
      <c r="B21" s="9" t="s">
        <v>42</v>
      </c>
      <c r="C21" s="18" t="s">
        <v>43</v>
      </c>
      <c r="D21" s="17" t="n">
        <v>23</v>
      </c>
      <c r="E21" s="19" t="n">
        <v>1133442.51</v>
      </c>
      <c r="F21" s="19" t="n">
        <v>33984.51</v>
      </c>
    </row>
    <row r="22" customFormat="false" ht="18.75" hidden="false" customHeight="true" outlineLevel="0" collapsed="false">
      <c r="A22" s="20" t="n">
        <v>4</v>
      </c>
      <c r="B22" s="13" t="s">
        <v>44</v>
      </c>
      <c r="C22" s="21" t="s">
        <v>45</v>
      </c>
      <c r="D22" s="20" t="n">
        <v>18</v>
      </c>
      <c r="E22" s="22" t="n">
        <v>1092723.03</v>
      </c>
      <c r="F22" s="22" t="n">
        <v>1034409.03</v>
      </c>
    </row>
    <row r="23" customFormat="false" ht="18.75" hidden="false" customHeight="true" outlineLevel="0" collapsed="false">
      <c r="A23" s="17" t="n">
        <v>5</v>
      </c>
      <c r="B23" s="9" t="s">
        <v>46</v>
      </c>
      <c r="C23" s="18" t="s">
        <v>47</v>
      </c>
      <c r="D23" s="17" t="n">
        <v>11</v>
      </c>
      <c r="E23" s="19" t="n">
        <v>543978.94</v>
      </c>
      <c r="F23" s="19" t="n">
        <v>8978.94</v>
      </c>
    </row>
    <row r="24" customFormat="false" ht="18.75" hidden="false" customHeight="true" outlineLevel="0" collapsed="false">
      <c r="A24" s="20" t="n">
        <v>6</v>
      </c>
      <c r="B24" s="13" t="s">
        <v>48</v>
      </c>
      <c r="C24" s="21" t="s">
        <v>49</v>
      </c>
      <c r="D24" s="20" t="n">
        <v>2</v>
      </c>
      <c r="E24" s="22" t="n">
        <v>220400</v>
      </c>
      <c r="F24" s="22" t="n">
        <v>136400</v>
      </c>
    </row>
    <row r="25" customFormat="false" ht="18.75" hidden="false" customHeight="true" outlineLevel="0" collapsed="false">
      <c r="A25" s="17" t="n">
        <v>7</v>
      </c>
      <c r="B25" s="9" t="s">
        <v>50</v>
      </c>
      <c r="C25" s="18" t="s">
        <v>51</v>
      </c>
      <c r="D25" s="17" t="n">
        <v>1</v>
      </c>
      <c r="E25" s="19" t="n">
        <v>123000</v>
      </c>
      <c r="F25" s="19" t="n">
        <v>50000</v>
      </c>
    </row>
    <row r="26" customFormat="false" ht="18.75" hidden="false" customHeight="true" outlineLevel="0" collapsed="false">
      <c r="A26" s="20" t="n">
        <v>8</v>
      </c>
      <c r="B26" s="13" t="s">
        <v>52</v>
      </c>
      <c r="C26" s="21" t="s">
        <v>53</v>
      </c>
      <c r="D26" s="20" t="n">
        <v>1</v>
      </c>
      <c r="E26" s="22" t="n">
        <v>120055</v>
      </c>
      <c r="F26" s="22" t="n">
        <v>0</v>
      </c>
    </row>
    <row r="27" customFormat="false" ht="18.75" hidden="false" customHeight="true" outlineLevel="0" collapsed="false">
      <c r="A27" s="17" t="n">
        <v>9</v>
      </c>
      <c r="B27" s="9" t="s">
        <v>54</v>
      </c>
      <c r="C27" s="18" t="s">
        <v>55</v>
      </c>
      <c r="D27" s="17" t="n">
        <v>1</v>
      </c>
      <c r="E27" s="19" t="n">
        <v>113490</v>
      </c>
      <c r="F27" s="19" t="n">
        <v>63490</v>
      </c>
    </row>
    <row r="28" customFormat="false" ht="18.75" hidden="false" customHeight="true" outlineLevel="0" collapsed="false">
      <c r="A28" s="20" t="n">
        <v>10</v>
      </c>
      <c r="B28" s="13" t="s">
        <v>56</v>
      </c>
      <c r="C28" s="21" t="s">
        <v>57</v>
      </c>
      <c r="D28" s="20" t="n">
        <v>3</v>
      </c>
      <c r="E28" s="22" t="n">
        <v>101640</v>
      </c>
      <c r="F28" s="22" t="n">
        <v>21000</v>
      </c>
    </row>
    <row r="30" customFormat="false" ht="21.75" hidden="false" customHeight="true" outlineLevel="0" collapsed="false">
      <c r="A30" s="4" t="s">
        <v>58</v>
      </c>
    </row>
    <row r="31" customFormat="false" ht="21.75" hidden="false" customHeight="true" outlineLevel="0" collapsed="false">
      <c r="A31" s="16" t="s">
        <v>32</v>
      </c>
      <c r="B31" s="16" t="s">
        <v>59</v>
      </c>
      <c r="C31" s="16" t="s">
        <v>60</v>
      </c>
      <c r="D31" s="16" t="s">
        <v>61</v>
      </c>
      <c r="E31" s="16" t="s">
        <v>62</v>
      </c>
      <c r="F31" s="16" t="s">
        <v>63</v>
      </c>
    </row>
    <row r="32" customFormat="false" ht="18.75" hidden="false" customHeight="true" outlineLevel="0" collapsed="false">
      <c r="A32" s="17" t="n">
        <v>1</v>
      </c>
      <c r="B32" s="9" t="s">
        <v>64</v>
      </c>
      <c r="C32" s="18" t="s">
        <v>39</v>
      </c>
      <c r="D32" s="19" t="n">
        <v>310973.75</v>
      </c>
      <c r="E32" s="18" t="s">
        <v>65</v>
      </c>
      <c r="F32" s="19" t="n">
        <v>4985615.95</v>
      </c>
    </row>
    <row r="33" customFormat="false" ht="18.75" hidden="false" customHeight="true" outlineLevel="0" collapsed="false">
      <c r="A33" s="20" t="n">
        <v>2</v>
      </c>
      <c r="B33" s="13" t="s">
        <v>66</v>
      </c>
      <c r="C33" s="21" t="s">
        <v>39</v>
      </c>
      <c r="D33" s="22" t="n">
        <v>6973</v>
      </c>
      <c r="E33" s="21" t="s">
        <v>67</v>
      </c>
      <c r="F33" s="22" t="n">
        <v>1756625</v>
      </c>
    </row>
    <row r="34" customFormat="false" ht="18.75" hidden="false" customHeight="true" outlineLevel="0" collapsed="false">
      <c r="A34" s="17" t="n">
        <v>3</v>
      </c>
      <c r="B34" s="9" t="s">
        <v>68</v>
      </c>
      <c r="C34" s="18" t="s">
        <v>39</v>
      </c>
      <c r="D34" s="19" t="n">
        <v>83980.25</v>
      </c>
      <c r="E34" s="18" t="s">
        <v>65</v>
      </c>
      <c r="F34" s="19" t="n">
        <v>1413668.34</v>
      </c>
    </row>
    <row r="35" customFormat="false" ht="18.75" hidden="false" customHeight="true" outlineLevel="0" collapsed="false">
      <c r="A35" s="20" t="n">
        <v>4</v>
      </c>
      <c r="B35" s="13" t="s">
        <v>69</v>
      </c>
      <c r="C35" s="21" t="s">
        <v>39</v>
      </c>
      <c r="D35" s="22" t="n">
        <v>145</v>
      </c>
      <c r="E35" s="21" t="s">
        <v>67</v>
      </c>
      <c r="F35" s="22" t="n">
        <v>749650</v>
      </c>
    </row>
    <row r="36" customFormat="false" ht="18.75" hidden="false" customHeight="true" outlineLevel="0" collapsed="false">
      <c r="A36" s="17" t="n">
        <v>5</v>
      </c>
      <c r="B36" s="9" t="s">
        <v>70</v>
      </c>
      <c r="C36" s="18" t="s">
        <v>39</v>
      </c>
      <c r="D36" s="19" t="n">
        <v>20</v>
      </c>
      <c r="E36" s="18" t="s">
        <v>67</v>
      </c>
      <c r="F36" s="19" t="n">
        <v>477600</v>
      </c>
    </row>
    <row r="37" customFormat="false" ht="18.75" hidden="false" customHeight="true" outlineLevel="0" collapsed="false">
      <c r="A37" s="20" t="n">
        <v>6</v>
      </c>
      <c r="B37" s="13" t="s">
        <v>71</v>
      </c>
      <c r="C37" s="21" t="s">
        <v>39</v>
      </c>
      <c r="D37" s="22" t="n">
        <v>243</v>
      </c>
      <c r="E37" s="21" t="s">
        <v>67</v>
      </c>
      <c r="F37" s="22" t="n">
        <v>399650</v>
      </c>
    </row>
    <row r="38" customFormat="false" ht="18.75" hidden="false" customHeight="true" outlineLevel="0" collapsed="false">
      <c r="A38" s="17" t="n">
        <v>7</v>
      </c>
      <c r="B38" s="9" t="s">
        <v>72</v>
      </c>
      <c r="C38" s="18" t="s">
        <v>39</v>
      </c>
      <c r="D38" s="19" t="n">
        <v>14924.25</v>
      </c>
      <c r="E38" s="18" t="s">
        <v>73</v>
      </c>
      <c r="F38" s="19" t="n">
        <v>317770.25</v>
      </c>
    </row>
    <row r="39" customFormat="false" ht="18.75" hidden="false" customHeight="true" outlineLevel="0" collapsed="false">
      <c r="A39" s="20" t="n">
        <v>8</v>
      </c>
      <c r="B39" s="13" t="s">
        <v>74</v>
      </c>
      <c r="C39" s="21" t="s">
        <v>39</v>
      </c>
      <c r="D39" s="22" t="n">
        <v>346</v>
      </c>
      <c r="E39" s="21" t="s">
        <v>67</v>
      </c>
      <c r="F39" s="22" t="n">
        <v>313940</v>
      </c>
    </row>
    <row r="40" customFormat="false" ht="18.75" hidden="false" customHeight="true" outlineLevel="0" collapsed="false">
      <c r="A40" s="17" t="n">
        <v>9</v>
      </c>
      <c r="B40" s="9" t="s">
        <v>75</v>
      </c>
      <c r="C40" s="18" t="s">
        <v>39</v>
      </c>
      <c r="D40" s="19" t="n">
        <v>16591.5</v>
      </c>
      <c r="E40" s="18" t="s">
        <v>65</v>
      </c>
      <c r="F40" s="19" t="n">
        <v>293020.44</v>
      </c>
    </row>
    <row r="41" customFormat="false" ht="18.75" hidden="false" customHeight="true" outlineLevel="0" collapsed="false">
      <c r="A41" s="20" t="n">
        <v>10</v>
      </c>
      <c r="B41" s="13" t="s">
        <v>76</v>
      </c>
      <c r="C41" s="21" t="s">
        <v>39</v>
      </c>
      <c r="D41" s="22" t="n">
        <v>1930</v>
      </c>
      <c r="E41" s="21" t="s">
        <v>67</v>
      </c>
      <c r="F41" s="22" t="n">
        <v>277110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7"/>
    <col collapsed="false" customWidth="true" hidden="false" outlineLevel="0" max="3" min="2" style="0" width="13"/>
    <col collapsed="false" customWidth="true" hidden="false" outlineLevel="0" max="4" min="4" style="0" width="57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17"/>
    <col collapsed="false" customWidth="true" hidden="false" outlineLevel="0" max="9" min="9" style="0" width="22"/>
    <col collapsed="false" customWidth="true" hidden="false" outlineLevel="0" max="10" min="10" style="0" width="59"/>
  </cols>
  <sheetData>
    <row r="1" customFormat="false" ht="18.5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4" hidden="false" customHeight="true" outlineLevel="0" collapsed="false">
      <c r="A4" s="5" t="s">
        <v>79</v>
      </c>
      <c r="B4" s="5" t="s">
        <v>80</v>
      </c>
      <c r="C4" s="5" t="s">
        <v>81</v>
      </c>
      <c r="D4" s="5" t="s">
        <v>33</v>
      </c>
      <c r="E4" s="5" t="s">
        <v>82</v>
      </c>
      <c r="F4" s="5" t="s">
        <v>83</v>
      </c>
      <c r="G4" s="5" t="s">
        <v>84</v>
      </c>
      <c r="H4" s="5" t="s">
        <v>85</v>
      </c>
      <c r="I4" s="5" t="s">
        <v>86</v>
      </c>
      <c r="J4" s="5" t="s">
        <v>87</v>
      </c>
    </row>
    <row r="5" customFormat="false" ht="18.75" hidden="false" customHeight="true" outlineLevel="0" collapsed="false">
      <c r="A5" s="17" t="n">
        <v>1</v>
      </c>
      <c r="B5" s="18" t="s">
        <v>88</v>
      </c>
      <c r="C5" s="23" t="s">
        <v>89</v>
      </c>
      <c r="D5" s="9" t="s">
        <v>48</v>
      </c>
      <c r="E5" s="19" t="n">
        <f aca="false">F5+G5</f>
        <v>132400</v>
      </c>
      <c r="F5" s="19" t="n">
        <v>30000</v>
      </c>
      <c r="G5" s="19" t="n">
        <v>102400</v>
      </c>
      <c r="H5" s="18" t="str">
        <f aca="false">IF(G5&lt;=0,"Paid",IF(F5&gt;0,"Partial","Unpaid"))</f>
        <v>Partial</v>
      </c>
      <c r="I5" s="18" t="s">
        <v>90</v>
      </c>
      <c r="J5" s="9"/>
    </row>
    <row r="6" customFormat="false" ht="18.75" hidden="false" customHeight="true" outlineLevel="0" collapsed="false">
      <c r="A6" s="20" t="n">
        <v>2</v>
      </c>
      <c r="B6" s="21" t="s">
        <v>91</v>
      </c>
      <c r="C6" s="24" t="s">
        <v>92</v>
      </c>
      <c r="D6" s="13" t="s">
        <v>54</v>
      </c>
      <c r="E6" s="22" t="n">
        <f aca="false">F6+G6</f>
        <v>113490</v>
      </c>
      <c r="F6" s="22" t="n">
        <v>50000</v>
      </c>
      <c r="G6" s="22" t="n">
        <v>63490</v>
      </c>
      <c r="H6" s="21" t="str">
        <f aca="false">IF(G6&lt;=0,"Paid",IF(F6&gt;0,"Partial","Unpaid"))</f>
        <v>Partial</v>
      </c>
      <c r="I6" s="21" t="s">
        <v>90</v>
      </c>
      <c r="J6" s="13"/>
    </row>
    <row r="7" customFormat="false" ht="18.75" hidden="false" customHeight="true" outlineLevel="0" collapsed="false">
      <c r="A7" s="17" t="n">
        <v>3</v>
      </c>
      <c r="B7" s="18" t="s">
        <v>93</v>
      </c>
      <c r="C7" s="23" t="s">
        <v>92</v>
      </c>
      <c r="D7" s="9" t="s">
        <v>94</v>
      </c>
      <c r="E7" s="19" t="n">
        <f aca="false">F7+G7</f>
        <v>15709.5</v>
      </c>
      <c r="F7" s="19" t="n">
        <v>0</v>
      </c>
      <c r="G7" s="19" t="n">
        <v>15709.5</v>
      </c>
      <c r="H7" s="18" t="str">
        <f aca="false">IF(G7&lt;=0,"Paid",IF(F7&gt;0,"Partial","Unpaid"))</f>
        <v>Unpaid</v>
      </c>
      <c r="I7" s="18" t="s">
        <v>90</v>
      </c>
      <c r="J7" s="9"/>
    </row>
    <row r="8" customFormat="false" ht="18.75" hidden="false" customHeight="true" outlineLevel="0" collapsed="false">
      <c r="A8" s="20" t="n">
        <v>4</v>
      </c>
      <c r="B8" s="21" t="s">
        <v>95</v>
      </c>
      <c r="C8" s="24" t="s">
        <v>92</v>
      </c>
      <c r="D8" s="13" t="s">
        <v>96</v>
      </c>
      <c r="E8" s="22" t="n">
        <f aca="false">F8+G8</f>
        <v>50000</v>
      </c>
      <c r="F8" s="22" t="n">
        <v>0</v>
      </c>
      <c r="G8" s="22" t="n">
        <v>50000</v>
      </c>
      <c r="H8" s="21" t="str">
        <f aca="false">IF(G8&lt;=0,"Paid",IF(F8&gt;0,"Partial","Unpaid"))</f>
        <v>Unpaid</v>
      </c>
      <c r="I8" s="21" t="s">
        <v>90</v>
      </c>
      <c r="J8" s="13"/>
    </row>
    <row r="9" customFormat="false" ht="18.75" hidden="false" customHeight="true" outlineLevel="0" collapsed="false">
      <c r="A9" s="17" t="n">
        <v>5</v>
      </c>
      <c r="B9" s="18" t="s">
        <v>97</v>
      </c>
      <c r="C9" s="23" t="s">
        <v>98</v>
      </c>
      <c r="D9" s="9" t="s">
        <v>99</v>
      </c>
      <c r="E9" s="19" t="n">
        <f aca="false">F9+G9</f>
        <v>36000</v>
      </c>
      <c r="F9" s="19" t="n">
        <v>2000</v>
      </c>
      <c r="G9" s="19" t="n">
        <v>34000</v>
      </c>
      <c r="H9" s="18" t="str">
        <f aca="false">IF(G9&lt;=0,"Paid",IF(F9&gt;0,"Partial","Unpaid"))</f>
        <v>Partial</v>
      </c>
      <c r="I9" s="18" t="s">
        <v>90</v>
      </c>
      <c r="J9" s="9"/>
    </row>
    <row r="10" customFormat="false" ht="18.75" hidden="false" customHeight="true" outlineLevel="0" collapsed="false">
      <c r="A10" s="20" t="n">
        <v>6</v>
      </c>
      <c r="B10" s="21" t="s">
        <v>100</v>
      </c>
      <c r="C10" s="24" t="s">
        <v>101</v>
      </c>
      <c r="D10" s="13" t="s">
        <v>44</v>
      </c>
      <c r="E10" s="22" t="n">
        <f aca="false">F10+G10</f>
        <v>28647.5</v>
      </c>
      <c r="F10" s="22" t="n">
        <v>0</v>
      </c>
      <c r="G10" s="22" t="n">
        <v>28647.5</v>
      </c>
      <c r="H10" s="21" t="str">
        <f aca="false">IF(G10&lt;=0,"Paid",IF(F10&gt;0,"Partial","Unpaid"))</f>
        <v>Unpaid</v>
      </c>
      <c r="I10" s="21" t="s">
        <v>90</v>
      </c>
      <c r="J10" s="13"/>
    </row>
    <row r="11" customFormat="false" ht="18.75" hidden="false" customHeight="true" outlineLevel="0" collapsed="false">
      <c r="A11" s="17" t="n">
        <v>7</v>
      </c>
      <c r="B11" s="18" t="s">
        <v>102</v>
      </c>
      <c r="C11" s="23" t="s">
        <v>103</v>
      </c>
      <c r="D11" s="9" t="s">
        <v>50</v>
      </c>
      <c r="E11" s="19" t="n">
        <f aca="false">F11+G11</f>
        <v>123000</v>
      </c>
      <c r="F11" s="19" t="n">
        <v>73000</v>
      </c>
      <c r="G11" s="19" t="n">
        <v>50000</v>
      </c>
      <c r="H11" s="18" t="str">
        <f aca="false">IF(G11&lt;=0,"Paid",IF(F11&gt;0,"Partial","Unpaid"))</f>
        <v>Partial</v>
      </c>
      <c r="I11" s="18" t="s">
        <v>90</v>
      </c>
      <c r="J11" s="9" t="s">
        <v>104</v>
      </c>
    </row>
    <row r="12" customFormat="false" ht="18.75" hidden="false" customHeight="true" outlineLevel="0" collapsed="false">
      <c r="A12" s="20" t="n">
        <v>8</v>
      </c>
      <c r="B12" s="21" t="s">
        <v>105</v>
      </c>
      <c r="C12" s="24" t="s">
        <v>106</v>
      </c>
      <c r="D12" s="13" t="s">
        <v>107</v>
      </c>
      <c r="E12" s="22" t="n">
        <f aca="false">F12+G12</f>
        <v>45600</v>
      </c>
      <c r="F12" s="22" t="n">
        <v>24000</v>
      </c>
      <c r="G12" s="22" t="n">
        <v>21600</v>
      </c>
      <c r="H12" s="21" t="str">
        <f aca="false">IF(G12&lt;=0,"Paid",IF(F12&gt;0,"Partial","Unpaid"))</f>
        <v>Partial</v>
      </c>
      <c r="I12" s="21" t="s">
        <v>90</v>
      </c>
      <c r="J12" s="13"/>
    </row>
    <row r="13" customFormat="false" ht="18.75" hidden="false" customHeight="true" outlineLevel="0" collapsed="false">
      <c r="A13" s="17" t="n">
        <v>9</v>
      </c>
      <c r="B13" s="18" t="s">
        <v>108</v>
      </c>
      <c r="C13" s="23" t="s">
        <v>109</v>
      </c>
      <c r="D13" s="9" t="s">
        <v>110</v>
      </c>
      <c r="E13" s="19" t="n">
        <f aca="false">F13+G13</f>
        <v>65500</v>
      </c>
      <c r="F13" s="19" t="n">
        <v>65500</v>
      </c>
      <c r="G13" s="19" t="n">
        <v>0</v>
      </c>
      <c r="H13" s="18" t="str">
        <f aca="false">IF(G13&lt;=0,"Paid",IF(F13&gt;0,"Partial","Unpaid"))</f>
        <v>Paid</v>
      </c>
      <c r="I13" s="18" t="s">
        <v>90</v>
      </c>
      <c r="J13" s="9"/>
    </row>
    <row r="14" customFormat="false" ht="18.75" hidden="false" customHeight="true" outlineLevel="0" collapsed="false">
      <c r="A14" s="20" t="n">
        <v>10</v>
      </c>
      <c r="B14" s="21" t="s">
        <v>111</v>
      </c>
      <c r="C14" s="24" t="s">
        <v>112</v>
      </c>
      <c r="D14" s="13" t="s">
        <v>44</v>
      </c>
      <c r="E14" s="22" t="n">
        <f aca="false">F14+G14</f>
        <v>191577.94</v>
      </c>
      <c r="F14" s="22" t="n">
        <v>58314</v>
      </c>
      <c r="G14" s="22" t="n">
        <v>133263.94</v>
      </c>
      <c r="H14" s="21" t="str">
        <f aca="false">IF(G14&lt;=0,"Paid",IF(F14&gt;0,"Partial","Unpaid"))</f>
        <v>Partial</v>
      </c>
      <c r="I14" s="21" t="s">
        <v>90</v>
      </c>
      <c r="J14" s="13"/>
    </row>
    <row r="15" customFormat="false" ht="18.75" hidden="false" customHeight="true" outlineLevel="0" collapsed="false">
      <c r="A15" s="17" t="n">
        <v>11</v>
      </c>
      <c r="B15" s="18" t="s">
        <v>113</v>
      </c>
      <c r="C15" s="23" t="s">
        <v>114</v>
      </c>
      <c r="D15" s="9" t="s">
        <v>48</v>
      </c>
      <c r="E15" s="19" t="n">
        <f aca="false">F15+G15</f>
        <v>88000</v>
      </c>
      <c r="F15" s="19" t="n">
        <v>34000</v>
      </c>
      <c r="G15" s="19" t="n">
        <v>54000</v>
      </c>
      <c r="H15" s="18" t="str">
        <f aca="false">IF(G15&lt;=0,"Paid",IF(F15&gt;0,"Partial","Unpaid"))</f>
        <v>Partial</v>
      </c>
      <c r="I15" s="18" t="s">
        <v>90</v>
      </c>
      <c r="J15" s="9"/>
    </row>
    <row r="16" customFormat="false" ht="18.75" hidden="false" customHeight="true" outlineLevel="0" collapsed="false">
      <c r="A16" s="20" t="n">
        <v>12</v>
      </c>
      <c r="B16" s="21" t="s">
        <v>115</v>
      </c>
      <c r="C16" s="24" t="s">
        <v>114</v>
      </c>
      <c r="D16" s="13" t="s">
        <v>116</v>
      </c>
      <c r="E16" s="22" t="n">
        <f aca="false">F16+G16</f>
        <v>100000</v>
      </c>
      <c r="F16" s="22" t="n">
        <v>50000</v>
      </c>
      <c r="G16" s="22" t="n">
        <v>50000</v>
      </c>
      <c r="H16" s="21" t="str">
        <f aca="false">IF(G16&lt;=0,"Paid",IF(F16&gt;0,"Partial","Unpaid"))</f>
        <v>Partial</v>
      </c>
      <c r="I16" s="21" t="s">
        <v>90</v>
      </c>
      <c r="J16" s="13"/>
    </row>
    <row r="17" customFormat="false" ht="18.75" hidden="false" customHeight="true" outlineLevel="0" collapsed="false">
      <c r="A17" s="17" t="n">
        <v>13</v>
      </c>
      <c r="B17" s="18" t="s">
        <v>117</v>
      </c>
      <c r="C17" s="23" t="s">
        <v>114</v>
      </c>
      <c r="D17" s="9" t="s">
        <v>118</v>
      </c>
      <c r="E17" s="19" t="n">
        <f aca="false">F17+G17</f>
        <v>100000</v>
      </c>
      <c r="F17" s="19" t="n">
        <v>90000</v>
      </c>
      <c r="G17" s="19" t="n">
        <v>10000</v>
      </c>
      <c r="H17" s="18" t="str">
        <f aca="false">IF(G17&lt;=0,"Paid",IF(F17&gt;0,"Partial","Unpaid"))</f>
        <v>Partial</v>
      </c>
      <c r="I17" s="18" t="s">
        <v>90</v>
      </c>
      <c r="J17" s="9"/>
    </row>
    <row r="18" customFormat="false" ht="18.75" hidden="false" customHeight="true" outlineLevel="0" collapsed="false">
      <c r="A18" s="20" t="n">
        <v>14</v>
      </c>
      <c r="B18" s="21" t="s">
        <v>119</v>
      </c>
      <c r="C18" s="24" t="s">
        <v>120</v>
      </c>
      <c r="D18" s="13" t="s">
        <v>121</v>
      </c>
      <c r="E18" s="22" t="n">
        <f aca="false">F18+G18</f>
        <v>37000</v>
      </c>
      <c r="F18" s="22" t="n">
        <v>37000</v>
      </c>
      <c r="G18" s="22" t="n">
        <v>0</v>
      </c>
      <c r="H18" s="21" t="str">
        <f aca="false">IF(G18&lt;=0,"Paid",IF(F18&gt;0,"Partial","Unpaid"))</f>
        <v>Paid</v>
      </c>
      <c r="I18" s="21" t="s">
        <v>90</v>
      </c>
      <c r="J18" s="13"/>
    </row>
    <row r="19" customFormat="false" ht="18.75" hidden="false" customHeight="true" outlineLevel="0" collapsed="false">
      <c r="A19" s="17" t="n">
        <v>15</v>
      </c>
      <c r="B19" s="18" t="s">
        <v>122</v>
      </c>
      <c r="C19" s="23" t="s">
        <v>123</v>
      </c>
      <c r="D19" s="9" t="s">
        <v>124</v>
      </c>
      <c r="E19" s="19" t="n">
        <f aca="false">F19+G19</f>
        <v>84000</v>
      </c>
      <c r="F19" s="19" t="n">
        <v>84000</v>
      </c>
      <c r="G19" s="19" t="n">
        <v>0</v>
      </c>
      <c r="H19" s="18" t="str">
        <f aca="false">IF(G19&lt;=0,"Paid",IF(F19&gt;0,"Partial","Unpaid"))</f>
        <v>Paid</v>
      </c>
      <c r="I19" s="18" t="s">
        <v>90</v>
      </c>
      <c r="J19" s="9"/>
    </row>
    <row r="20" customFormat="false" ht="18.75" hidden="false" customHeight="true" outlineLevel="0" collapsed="false">
      <c r="A20" s="20" t="n">
        <v>16</v>
      </c>
      <c r="B20" s="21" t="s">
        <v>125</v>
      </c>
      <c r="C20" s="24" t="s">
        <v>126</v>
      </c>
      <c r="D20" s="13" t="s">
        <v>44</v>
      </c>
      <c r="E20" s="22" t="n">
        <f aca="false">F20+G20</f>
        <v>40945.63</v>
      </c>
      <c r="F20" s="22" t="n">
        <v>0</v>
      </c>
      <c r="G20" s="22" t="n">
        <v>40945.63</v>
      </c>
      <c r="H20" s="21" t="str">
        <f aca="false">IF(G20&lt;=0,"Paid",IF(F20&gt;0,"Partial","Unpaid"))</f>
        <v>Unpaid</v>
      </c>
      <c r="I20" s="21" t="s">
        <v>90</v>
      </c>
      <c r="J20" s="13"/>
    </row>
    <row r="21" customFormat="false" ht="18.75" hidden="false" customHeight="true" outlineLevel="0" collapsed="false">
      <c r="A21" s="17" t="n">
        <v>17</v>
      </c>
      <c r="B21" s="18" t="s">
        <v>127</v>
      </c>
      <c r="C21" s="23" t="s">
        <v>128</v>
      </c>
      <c r="D21" s="9" t="s">
        <v>44</v>
      </c>
      <c r="E21" s="19" t="n">
        <f aca="false">F21+G21</f>
        <v>23790.75</v>
      </c>
      <c r="F21" s="19" t="n">
        <v>0</v>
      </c>
      <c r="G21" s="19" t="n">
        <v>23790.75</v>
      </c>
      <c r="H21" s="18" t="str">
        <f aca="false">IF(G21&lt;=0,"Paid",IF(F21&gt;0,"Partial","Unpaid"))</f>
        <v>Unpaid</v>
      </c>
      <c r="I21" s="18" t="s">
        <v>90</v>
      </c>
      <c r="J21" s="9"/>
    </row>
    <row r="22" customFormat="false" ht="18.75" hidden="false" customHeight="true" outlineLevel="0" collapsed="false">
      <c r="A22" s="20" t="n">
        <v>18</v>
      </c>
      <c r="B22" s="21" t="s">
        <v>129</v>
      </c>
      <c r="C22" s="24" t="s">
        <v>130</v>
      </c>
      <c r="D22" s="13" t="s">
        <v>44</v>
      </c>
      <c r="E22" s="22" t="n">
        <f aca="false">F22+G22</f>
        <v>104877.5</v>
      </c>
      <c r="F22" s="22" t="n">
        <v>0</v>
      </c>
      <c r="G22" s="22" t="n">
        <v>104877.5</v>
      </c>
      <c r="H22" s="21" t="str">
        <f aca="false">IF(G22&lt;=0,"Paid",IF(F22&gt;0,"Partial","Unpaid"))</f>
        <v>Unpaid</v>
      </c>
      <c r="I22" s="21" t="s">
        <v>90</v>
      </c>
      <c r="J22" s="13"/>
    </row>
    <row r="23" customFormat="false" ht="18.75" hidden="false" customHeight="true" outlineLevel="0" collapsed="false">
      <c r="A23" s="17" t="n">
        <v>19</v>
      </c>
      <c r="B23" s="18" t="s">
        <v>131</v>
      </c>
      <c r="C23" s="23" t="s">
        <v>132</v>
      </c>
      <c r="D23" s="9" t="s">
        <v>44</v>
      </c>
      <c r="E23" s="19" t="n">
        <f aca="false">F23+G23</f>
        <v>87045</v>
      </c>
      <c r="F23" s="19" t="n">
        <v>0</v>
      </c>
      <c r="G23" s="19" t="n">
        <v>87045</v>
      </c>
      <c r="H23" s="18" t="str">
        <f aca="false">IF(G23&lt;=0,"Paid",IF(F23&gt;0,"Partial","Unpaid"))</f>
        <v>Unpaid</v>
      </c>
      <c r="I23" s="18" t="s">
        <v>90</v>
      </c>
      <c r="J23" s="9"/>
    </row>
    <row r="24" customFormat="false" ht="18.75" hidden="false" customHeight="true" outlineLevel="0" collapsed="false">
      <c r="A24" s="20" t="n">
        <v>20</v>
      </c>
      <c r="B24" s="21" t="s">
        <v>133</v>
      </c>
      <c r="C24" s="24" t="s">
        <v>134</v>
      </c>
      <c r="D24" s="13" t="s">
        <v>44</v>
      </c>
      <c r="E24" s="22" t="n">
        <f aca="false">F24+G24</f>
        <v>35516.88</v>
      </c>
      <c r="F24" s="22" t="n">
        <v>0</v>
      </c>
      <c r="G24" s="22" t="n">
        <v>35516.88</v>
      </c>
      <c r="H24" s="21" t="str">
        <f aca="false">IF(G24&lt;=0,"Paid",IF(F24&gt;0,"Partial","Unpaid"))</f>
        <v>Unpaid</v>
      </c>
      <c r="I24" s="21" t="s">
        <v>90</v>
      </c>
      <c r="J24" s="13"/>
    </row>
    <row r="25" customFormat="false" ht="18.75" hidden="false" customHeight="true" outlineLevel="0" collapsed="false">
      <c r="A25" s="17" t="n">
        <v>21</v>
      </c>
      <c r="B25" s="18" t="s">
        <v>135</v>
      </c>
      <c r="C25" s="23" t="s">
        <v>136</v>
      </c>
      <c r="D25" s="9" t="s">
        <v>44</v>
      </c>
      <c r="E25" s="19" t="n">
        <f aca="false">F25+G25</f>
        <v>62000.63</v>
      </c>
      <c r="F25" s="19" t="n">
        <v>0</v>
      </c>
      <c r="G25" s="19" t="n">
        <v>62000.63</v>
      </c>
      <c r="H25" s="18" t="str">
        <f aca="false">IF(G25&lt;=0,"Paid",IF(F25&gt;0,"Partial","Unpaid"))</f>
        <v>Unpaid</v>
      </c>
      <c r="I25" s="18" t="s">
        <v>90</v>
      </c>
      <c r="J25" s="9"/>
    </row>
    <row r="26" customFormat="false" ht="18.75" hidden="false" customHeight="true" outlineLevel="0" collapsed="false">
      <c r="A26" s="20" t="n">
        <v>22</v>
      </c>
      <c r="B26" s="21" t="s">
        <v>137</v>
      </c>
      <c r="C26" s="24" t="s">
        <v>138</v>
      </c>
      <c r="D26" s="13" t="s">
        <v>44</v>
      </c>
      <c r="E26" s="22" t="n">
        <f aca="false">F26+G26</f>
        <v>48671.88</v>
      </c>
      <c r="F26" s="22" t="n">
        <v>0</v>
      </c>
      <c r="G26" s="22" t="n">
        <v>48671.88</v>
      </c>
      <c r="H26" s="21" t="str">
        <f aca="false">IF(G26&lt;=0,"Paid",IF(F26&gt;0,"Partial","Unpaid"))</f>
        <v>Unpaid</v>
      </c>
      <c r="I26" s="21" t="s">
        <v>90</v>
      </c>
      <c r="J26" s="13"/>
    </row>
    <row r="27" customFormat="false" ht="18.75" hidden="false" customHeight="true" outlineLevel="0" collapsed="false">
      <c r="A27" s="17" t="n">
        <v>23</v>
      </c>
      <c r="B27" s="18" t="s">
        <v>139</v>
      </c>
      <c r="C27" s="23" t="s">
        <v>140</v>
      </c>
      <c r="D27" s="9" t="s">
        <v>44</v>
      </c>
      <c r="E27" s="19" t="n">
        <f aca="false">F27+G27</f>
        <v>69703.75</v>
      </c>
      <c r="F27" s="19" t="n">
        <v>0</v>
      </c>
      <c r="G27" s="19" t="n">
        <v>69703.75</v>
      </c>
      <c r="H27" s="18" t="str">
        <f aca="false">IF(G27&lt;=0,"Paid",IF(F27&gt;0,"Partial","Unpaid"))</f>
        <v>Unpaid</v>
      </c>
      <c r="I27" s="18" t="s">
        <v>90</v>
      </c>
      <c r="J27" s="9"/>
    </row>
    <row r="28" customFormat="false" ht="18.75" hidden="false" customHeight="true" outlineLevel="0" collapsed="false">
      <c r="A28" s="20" t="n">
        <v>24</v>
      </c>
      <c r="B28" s="21" t="s">
        <v>141</v>
      </c>
      <c r="C28" s="24" t="s">
        <v>142</v>
      </c>
      <c r="D28" s="13" t="s">
        <v>44</v>
      </c>
      <c r="E28" s="22" t="n">
        <f aca="false">F28+G28</f>
        <v>32370.63</v>
      </c>
      <c r="F28" s="22" t="n">
        <v>0</v>
      </c>
      <c r="G28" s="22" t="n">
        <v>32370.63</v>
      </c>
      <c r="H28" s="21" t="str">
        <f aca="false">IF(G28&lt;=0,"Paid",IF(F28&gt;0,"Partial","Unpaid"))</f>
        <v>Unpaid</v>
      </c>
      <c r="I28" s="21" t="s">
        <v>90</v>
      </c>
      <c r="J28" s="13"/>
    </row>
    <row r="29" customFormat="false" ht="18.75" hidden="false" customHeight="true" outlineLevel="0" collapsed="false">
      <c r="A29" s="17" t="n">
        <v>25</v>
      </c>
      <c r="B29" s="18" t="s">
        <v>143</v>
      </c>
      <c r="C29" s="23" t="s">
        <v>144</v>
      </c>
      <c r="D29" s="9" t="s">
        <v>44</v>
      </c>
      <c r="E29" s="19" t="n">
        <f aca="false">F29+G29</f>
        <v>12992.25</v>
      </c>
      <c r="F29" s="19" t="n">
        <v>0</v>
      </c>
      <c r="G29" s="19" t="n">
        <v>12992.25</v>
      </c>
      <c r="H29" s="18" t="str">
        <f aca="false">IF(G29&lt;=0,"Paid",IF(F29&gt;0,"Partial","Unpaid"))</f>
        <v>Unpaid</v>
      </c>
      <c r="I29" s="18" t="s">
        <v>90</v>
      </c>
      <c r="J29" s="9"/>
    </row>
    <row r="30" customFormat="false" ht="18.75" hidden="false" customHeight="true" outlineLevel="0" collapsed="false">
      <c r="A30" s="20" t="n">
        <v>26</v>
      </c>
      <c r="B30" s="21" t="s">
        <v>145</v>
      </c>
      <c r="C30" s="24" t="s">
        <v>146</v>
      </c>
      <c r="D30" s="13" t="s">
        <v>44</v>
      </c>
      <c r="E30" s="22" t="n">
        <f aca="false">F30+G30</f>
        <v>39656.75</v>
      </c>
      <c r="F30" s="22" t="n">
        <v>0</v>
      </c>
      <c r="G30" s="22" t="n">
        <v>39656.75</v>
      </c>
      <c r="H30" s="21" t="str">
        <f aca="false">IF(G30&lt;=0,"Paid",IF(F30&gt;0,"Partial","Unpaid"))</f>
        <v>Unpaid</v>
      </c>
      <c r="I30" s="21" t="s">
        <v>147</v>
      </c>
      <c r="J30" s="13"/>
    </row>
    <row r="31" customFormat="false" ht="18.75" hidden="false" customHeight="true" outlineLevel="0" collapsed="false">
      <c r="A31" s="17" t="n">
        <v>27</v>
      </c>
      <c r="B31" s="18" t="s">
        <v>148</v>
      </c>
      <c r="C31" s="23" t="s">
        <v>149</v>
      </c>
      <c r="D31" s="9" t="s">
        <v>44</v>
      </c>
      <c r="E31" s="19" t="n">
        <f aca="false">F31+G31</f>
        <v>38475.25</v>
      </c>
      <c r="F31" s="19" t="n">
        <v>0</v>
      </c>
      <c r="G31" s="19" t="n">
        <v>38475.25</v>
      </c>
      <c r="H31" s="18" t="str">
        <f aca="false">IF(G31&lt;=0,"Paid",IF(F31&gt;0,"Partial","Unpaid"))</f>
        <v>Unpaid</v>
      </c>
      <c r="I31" s="18" t="s">
        <v>90</v>
      </c>
      <c r="J31" s="9"/>
    </row>
    <row r="32" customFormat="false" ht="18.75" hidden="false" customHeight="true" outlineLevel="0" collapsed="false">
      <c r="A32" s="20" t="n">
        <v>28</v>
      </c>
      <c r="B32" s="21" t="s">
        <v>150</v>
      </c>
      <c r="C32" s="24" t="s">
        <v>151</v>
      </c>
      <c r="D32" s="13" t="s">
        <v>44</v>
      </c>
      <c r="E32" s="22" t="n">
        <f aca="false">F32+G32</f>
        <v>31376.5</v>
      </c>
      <c r="F32" s="22" t="n">
        <v>0</v>
      </c>
      <c r="G32" s="22" t="n">
        <v>31376.5</v>
      </c>
      <c r="H32" s="21" t="str">
        <f aca="false">IF(G32&lt;=0,"Paid",IF(F32&gt;0,"Partial","Unpaid"))</f>
        <v>Unpaid</v>
      </c>
      <c r="I32" s="21" t="s">
        <v>90</v>
      </c>
      <c r="J32" s="13"/>
    </row>
    <row r="33" customFormat="false" ht="18.75" hidden="false" customHeight="true" outlineLevel="0" collapsed="false">
      <c r="A33" s="17" t="n">
        <v>29</v>
      </c>
      <c r="B33" s="18" t="s">
        <v>152</v>
      </c>
      <c r="C33" s="23" t="s">
        <v>153</v>
      </c>
      <c r="D33" s="9" t="s">
        <v>40</v>
      </c>
      <c r="E33" s="19" t="n">
        <f aca="false">F33+G33</f>
        <v>213988</v>
      </c>
      <c r="F33" s="19" t="n">
        <v>0</v>
      </c>
      <c r="G33" s="19" t="n">
        <v>213988</v>
      </c>
      <c r="H33" s="18" t="str">
        <f aca="false">IF(G33&lt;=0,"Paid",IF(F33&gt;0,"Partial","Unpaid"))</f>
        <v>Unpaid</v>
      </c>
      <c r="I33" s="18" t="s">
        <v>90</v>
      </c>
      <c r="J33" s="9"/>
    </row>
    <row r="34" customFormat="false" ht="18.75" hidden="false" customHeight="true" outlineLevel="0" collapsed="false">
      <c r="A34" s="20" t="n">
        <v>30</v>
      </c>
      <c r="B34" s="21" t="s">
        <v>154</v>
      </c>
      <c r="C34" s="24" t="s">
        <v>155</v>
      </c>
      <c r="D34" s="13" t="s">
        <v>40</v>
      </c>
      <c r="E34" s="22" t="n">
        <f aca="false">F34+G34</f>
        <v>73524</v>
      </c>
      <c r="F34" s="22" t="n">
        <v>0</v>
      </c>
      <c r="G34" s="22" t="n">
        <v>73524</v>
      </c>
      <c r="H34" s="21" t="str">
        <f aca="false">IF(G34&lt;=0,"Paid",IF(F34&gt;0,"Partial","Unpaid"))</f>
        <v>Unpaid</v>
      </c>
      <c r="I34" s="21" t="s">
        <v>90</v>
      </c>
      <c r="J34" s="13"/>
    </row>
    <row r="35" customFormat="false" ht="18.75" hidden="false" customHeight="true" outlineLevel="0" collapsed="false">
      <c r="A35" s="17" t="n">
        <v>31</v>
      </c>
      <c r="B35" s="18" t="s">
        <v>156</v>
      </c>
      <c r="C35" s="23" t="s">
        <v>157</v>
      </c>
      <c r="D35" s="9" t="s">
        <v>44</v>
      </c>
      <c r="E35" s="19" t="n">
        <f aca="false">F35+G35</f>
        <v>108507.5</v>
      </c>
      <c r="F35" s="19" t="n">
        <v>0</v>
      </c>
      <c r="G35" s="19" t="n">
        <v>108507.5</v>
      </c>
      <c r="H35" s="18" t="str">
        <f aca="false">IF(G35&lt;=0,"Paid",IF(F35&gt;0,"Partial","Unpaid"))</f>
        <v>Unpaid</v>
      </c>
      <c r="I35" s="18" t="s">
        <v>90</v>
      </c>
      <c r="J35" s="9"/>
    </row>
    <row r="36" customFormat="false" ht="18.75" hidden="false" customHeight="true" outlineLevel="0" collapsed="false">
      <c r="A36" s="20" t="n">
        <v>32</v>
      </c>
      <c r="B36" s="21" t="s">
        <v>158</v>
      </c>
      <c r="C36" s="24" t="s">
        <v>159</v>
      </c>
      <c r="D36" s="13" t="s">
        <v>44</v>
      </c>
      <c r="E36" s="22" t="n">
        <f aca="false">F36+G36</f>
        <v>91150.69</v>
      </c>
      <c r="F36" s="22" t="n">
        <v>0</v>
      </c>
      <c r="G36" s="22" t="n">
        <v>91150.69</v>
      </c>
      <c r="H36" s="21" t="str">
        <f aca="false">IF(G36&lt;=0,"Paid",IF(F36&gt;0,"Partial","Unpaid"))</f>
        <v>Unpaid</v>
      </c>
      <c r="I36" s="21" t="s">
        <v>90</v>
      </c>
      <c r="J36" s="13"/>
    </row>
    <row r="37" customFormat="false" ht="18.75" hidden="false" customHeight="true" outlineLevel="0" collapsed="false">
      <c r="A37" s="17" t="n">
        <v>33</v>
      </c>
      <c r="B37" s="18" t="s">
        <v>160</v>
      </c>
      <c r="C37" s="23" t="s">
        <v>161</v>
      </c>
      <c r="D37" s="9" t="s">
        <v>44</v>
      </c>
      <c r="E37" s="19" t="n">
        <f aca="false">F37+G37</f>
        <v>45416</v>
      </c>
      <c r="F37" s="19" t="n">
        <v>0</v>
      </c>
      <c r="G37" s="19" t="n">
        <v>45416</v>
      </c>
      <c r="H37" s="18" t="str">
        <f aca="false">IF(G37&lt;=0,"Paid",IF(F37&gt;0,"Partial","Unpaid"))</f>
        <v>Unpaid</v>
      </c>
      <c r="I37" s="18" t="s">
        <v>90</v>
      </c>
      <c r="J37" s="9"/>
    </row>
    <row r="38" customFormat="false" ht="18.75" hidden="false" customHeight="true" outlineLevel="0" collapsed="false">
      <c r="A38" s="20" t="n">
        <v>34</v>
      </c>
      <c r="B38" s="21" t="s">
        <v>162</v>
      </c>
      <c r="C38" s="24" t="s">
        <v>163</v>
      </c>
      <c r="D38" s="13" t="s">
        <v>52</v>
      </c>
      <c r="E38" s="22" t="n">
        <f aca="false">F38+G38</f>
        <v>120055</v>
      </c>
      <c r="F38" s="22" t="n">
        <v>120055</v>
      </c>
      <c r="G38" s="22" t="n">
        <v>0</v>
      </c>
      <c r="H38" s="21" t="str">
        <f aca="false">IF(G38&lt;=0,"Paid",IF(F38&gt;0,"Partial","Unpaid"))</f>
        <v>Paid</v>
      </c>
      <c r="I38" s="21" t="s">
        <v>90</v>
      </c>
      <c r="J38" s="13"/>
    </row>
    <row r="39" customFormat="false" ht="18.75" hidden="false" customHeight="true" outlineLevel="0" collapsed="false">
      <c r="A39" s="17" t="n">
        <v>35</v>
      </c>
      <c r="B39" s="18" t="s">
        <v>164</v>
      </c>
      <c r="C39" s="23" t="s">
        <v>165</v>
      </c>
      <c r="D39" s="9" t="s">
        <v>40</v>
      </c>
      <c r="E39" s="19" t="n">
        <f aca="false">F39+G39</f>
        <v>83152</v>
      </c>
      <c r="F39" s="19" t="n">
        <v>0</v>
      </c>
      <c r="G39" s="19" t="n">
        <v>83152</v>
      </c>
      <c r="H39" s="18" t="str">
        <f aca="false">IF(G39&lt;=0,"Paid",IF(F39&gt;0,"Partial","Unpaid"))</f>
        <v>Unpaid</v>
      </c>
      <c r="I39" s="18" t="s">
        <v>90</v>
      </c>
      <c r="J39" s="9"/>
    </row>
    <row r="40" customFormat="false" ht="18.75" hidden="false" customHeight="true" outlineLevel="0" collapsed="false">
      <c r="A40" s="20" t="n">
        <v>36</v>
      </c>
      <c r="B40" s="21" t="s">
        <v>166</v>
      </c>
      <c r="C40" s="24" t="s">
        <v>167</v>
      </c>
      <c r="D40" s="13" t="s">
        <v>40</v>
      </c>
      <c r="E40" s="22" t="n">
        <f aca="false">F40+G40</f>
        <v>99436</v>
      </c>
      <c r="F40" s="22" t="n">
        <v>0</v>
      </c>
      <c r="G40" s="22" t="n">
        <v>99436</v>
      </c>
      <c r="H40" s="21" t="str">
        <f aca="false">IF(G40&lt;=0,"Paid",IF(F40&gt;0,"Partial","Unpaid"))</f>
        <v>Unpaid</v>
      </c>
      <c r="I40" s="21" t="s">
        <v>90</v>
      </c>
      <c r="J40" s="13"/>
    </row>
    <row r="41" customFormat="false" ht="18.75" hidden="false" customHeight="true" outlineLevel="0" collapsed="false">
      <c r="A41" s="17" t="n">
        <v>37</v>
      </c>
      <c r="B41" s="18" t="s">
        <v>168</v>
      </c>
      <c r="C41" s="23" t="s">
        <v>169</v>
      </c>
      <c r="D41" s="9" t="s">
        <v>40</v>
      </c>
      <c r="E41" s="19" t="n">
        <f aca="false">F41+G41</f>
        <v>70288</v>
      </c>
      <c r="F41" s="19" t="n">
        <v>0</v>
      </c>
      <c r="G41" s="19" t="n">
        <v>70288</v>
      </c>
      <c r="H41" s="18" t="str">
        <f aca="false">IF(G41&lt;=0,"Paid",IF(F41&gt;0,"Partial","Unpaid"))</f>
        <v>Unpaid</v>
      </c>
      <c r="I41" s="18" t="s">
        <v>90</v>
      </c>
      <c r="J41" s="9"/>
    </row>
    <row r="42" customFormat="false" ht="18.75" hidden="false" customHeight="true" outlineLevel="0" collapsed="false">
      <c r="A42" s="20" t="n">
        <v>38</v>
      </c>
      <c r="B42" s="21" t="s">
        <v>170</v>
      </c>
      <c r="C42" s="24" t="s">
        <v>169</v>
      </c>
      <c r="D42" s="13" t="s">
        <v>40</v>
      </c>
      <c r="E42" s="22" t="n">
        <f aca="false">F42+G42</f>
        <v>68432</v>
      </c>
      <c r="F42" s="22" t="n">
        <v>0</v>
      </c>
      <c r="G42" s="22" t="n">
        <v>68432</v>
      </c>
      <c r="H42" s="21" t="str">
        <f aca="false">IF(G42&lt;=0,"Paid",IF(F42&gt;0,"Partial","Unpaid"))</f>
        <v>Unpaid</v>
      </c>
      <c r="I42" s="21" t="s">
        <v>90</v>
      </c>
      <c r="J42" s="13"/>
    </row>
    <row r="43" customFormat="false" ht="18.75" hidden="false" customHeight="true" outlineLevel="0" collapsed="false">
      <c r="A43" s="17" t="n">
        <v>39</v>
      </c>
      <c r="B43" s="18" t="s">
        <v>171</v>
      </c>
      <c r="C43" s="23" t="s">
        <v>172</v>
      </c>
      <c r="D43" s="9" t="s">
        <v>40</v>
      </c>
      <c r="E43" s="19" t="n">
        <f aca="false">F43+G43</f>
        <v>91428</v>
      </c>
      <c r="F43" s="19" t="n">
        <v>0</v>
      </c>
      <c r="G43" s="19" t="n">
        <v>91428</v>
      </c>
      <c r="H43" s="18" t="str">
        <f aca="false">IF(G43&lt;=0,"Paid",IF(F43&gt;0,"Partial","Unpaid"))</f>
        <v>Unpaid</v>
      </c>
      <c r="I43" s="18" t="s">
        <v>90</v>
      </c>
      <c r="J43" s="9"/>
    </row>
    <row r="44" customFormat="false" ht="18.75" hidden="false" customHeight="true" outlineLevel="0" collapsed="false">
      <c r="A44" s="20" t="n">
        <v>40</v>
      </c>
      <c r="B44" s="21" t="s">
        <v>173</v>
      </c>
      <c r="C44" s="24" t="s">
        <v>174</v>
      </c>
      <c r="D44" s="13" t="s">
        <v>38</v>
      </c>
      <c r="E44" s="22" t="n">
        <f aca="false">F44+G44</f>
        <v>92923.88</v>
      </c>
      <c r="F44" s="22" t="n">
        <v>0</v>
      </c>
      <c r="G44" s="22" t="n">
        <v>92923.88</v>
      </c>
      <c r="H44" s="21" t="str">
        <f aca="false">IF(G44&lt;=0,"Paid",IF(F44&gt;0,"Partial","Unpaid"))</f>
        <v>Unpaid</v>
      </c>
      <c r="I44" s="21" t="s">
        <v>90</v>
      </c>
      <c r="J44" s="13"/>
    </row>
    <row r="45" customFormat="false" ht="18.75" hidden="false" customHeight="true" outlineLevel="0" collapsed="false">
      <c r="A45" s="17" t="n">
        <v>41</v>
      </c>
      <c r="B45" s="18" t="s">
        <v>175</v>
      </c>
      <c r="C45" s="23" t="s">
        <v>176</v>
      </c>
      <c r="D45" s="9" t="s">
        <v>38</v>
      </c>
      <c r="E45" s="19" t="n">
        <f aca="false">F45+G45</f>
        <v>490496.8</v>
      </c>
      <c r="F45" s="19" t="n">
        <v>0</v>
      </c>
      <c r="G45" s="19" t="n">
        <v>490496.8</v>
      </c>
      <c r="H45" s="18" t="str">
        <f aca="false">IF(G45&lt;=0,"Paid",IF(F45&gt;0,"Partial","Unpaid"))</f>
        <v>Unpaid</v>
      </c>
      <c r="I45" s="18" t="s">
        <v>90</v>
      </c>
      <c r="J45" s="9"/>
    </row>
    <row r="46" customFormat="false" ht="18.75" hidden="false" customHeight="true" outlineLevel="0" collapsed="false">
      <c r="A46" s="20" t="n">
        <v>42</v>
      </c>
      <c r="B46" s="21" t="s">
        <v>177</v>
      </c>
      <c r="C46" s="24" t="s">
        <v>178</v>
      </c>
      <c r="D46" s="13" t="s">
        <v>38</v>
      </c>
      <c r="E46" s="22" t="n">
        <f aca="false">F46+G46</f>
        <v>66215.1</v>
      </c>
      <c r="F46" s="22" t="n">
        <v>0</v>
      </c>
      <c r="G46" s="22" t="n">
        <v>66215.1</v>
      </c>
      <c r="H46" s="21" t="str">
        <f aca="false">IF(G46&lt;=0,"Paid",IF(F46&gt;0,"Partial","Unpaid"))</f>
        <v>Unpaid</v>
      </c>
      <c r="I46" s="21" t="s">
        <v>90</v>
      </c>
      <c r="J46" s="13"/>
    </row>
    <row r="47" customFormat="false" ht="18.75" hidden="false" customHeight="true" outlineLevel="0" collapsed="false">
      <c r="A47" s="17" t="n">
        <v>43</v>
      </c>
      <c r="B47" s="18" t="s">
        <v>179</v>
      </c>
      <c r="C47" s="23" t="s">
        <v>180</v>
      </c>
      <c r="D47" s="9" t="s">
        <v>38</v>
      </c>
      <c r="E47" s="19" t="n">
        <f aca="false">F47+G47</f>
        <v>134075.28</v>
      </c>
      <c r="F47" s="19" t="n">
        <v>0</v>
      </c>
      <c r="G47" s="19" t="n">
        <v>134075.28</v>
      </c>
      <c r="H47" s="18" t="str">
        <f aca="false">IF(G47&lt;=0,"Paid",IF(F47&gt;0,"Partial","Unpaid"))</f>
        <v>Unpaid</v>
      </c>
      <c r="I47" s="18" t="s">
        <v>90</v>
      </c>
      <c r="J47" s="9"/>
    </row>
    <row r="48" customFormat="false" ht="18.75" hidden="false" customHeight="true" outlineLevel="0" collapsed="false">
      <c r="A48" s="20" t="n">
        <v>44</v>
      </c>
      <c r="B48" s="21" t="s">
        <v>181</v>
      </c>
      <c r="C48" s="24" t="s">
        <v>182</v>
      </c>
      <c r="D48" s="13" t="s">
        <v>183</v>
      </c>
      <c r="E48" s="22" t="n">
        <f aca="false">F48+G48</f>
        <v>47000</v>
      </c>
      <c r="F48" s="22" t="n">
        <v>0</v>
      </c>
      <c r="G48" s="22" t="n">
        <v>47000</v>
      </c>
      <c r="H48" s="21" t="str">
        <f aca="false">IF(G48&lt;=0,"Paid",IF(F48&gt;0,"Partial","Unpaid"))</f>
        <v>Unpaid</v>
      </c>
      <c r="I48" s="21" t="s">
        <v>90</v>
      </c>
      <c r="J48" s="13"/>
    </row>
    <row r="49" customFormat="false" ht="18.75" hidden="false" customHeight="true" outlineLevel="0" collapsed="false">
      <c r="A49" s="17" t="n">
        <v>45</v>
      </c>
      <c r="B49" s="18" t="s">
        <v>184</v>
      </c>
      <c r="C49" s="23" t="s">
        <v>182</v>
      </c>
      <c r="D49" s="9" t="s">
        <v>38</v>
      </c>
      <c r="E49" s="19" t="n">
        <f aca="false">F49+G49</f>
        <v>176167.4</v>
      </c>
      <c r="F49" s="19" t="n">
        <v>0</v>
      </c>
      <c r="G49" s="19" t="n">
        <v>176167.4</v>
      </c>
      <c r="H49" s="18" t="str">
        <f aca="false">IF(G49&lt;=0,"Paid",IF(F49&gt;0,"Partial","Unpaid"))</f>
        <v>Unpaid</v>
      </c>
      <c r="I49" s="18" t="s">
        <v>90</v>
      </c>
      <c r="J49" s="9"/>
    </row>
    <row r="50" customFormat="false" ht="18.75" hidden="false" customHeight="true" outlineLevel="0" collapsed="false">
      <c r="A50" s="20" t="n">
        <v>46</v>
      </c>
      <c r="B50" s="21" t="s">
        <v>185</v>
      </c>
      <c r="C50" s="24" t="s">
        <v>186</v>
      </c>
      <c r="D50" s="13" t="s">
        <v>40</v>
      </c>
      <c r="E50" s="22" t="n">
        <f aca="false">F50+G50</f>
        <v>73206.5</v>
      </c>
      <c r="F50" s="22" t="n">
        <v>0</v>
      </c>
      <c r="G50" s="22" t="n">
        <v>73206.5</v>
      </c>
      <c r="H50" s="21" t="str">
        <f aca="false">IF(G50&lt;=0,"Paid",IF(F50&gt;0,"Partial","Unpaid"))</f>
        <v>Unpaid</v>
      </c>
      <c r="I50" s="21" t="s">
        <v>90</v>
      </c>
      <c r="J50" s="13"/>
    </row>
    <row r="51" customFormat="false" ht="18.75" hidden="false" customHeight="true" outlineLevel="0" collapsed="false">
      <c r="A51" s="17" t="n">
        <v>47</v>
      </c>
      <c r="B51" s="18" t="s">
        <v>187</v>
      </c>
      <c r="C51" s="23" t="s">
        <v>188</v>
      </c>
      <c r="D51" s="9" t="s">
        <v>38</v>
      </c>
      <c r="E51" s="19" t="n">
        <f aca="false">F51+G51</f>
        <v>7150</v>
      </c>
      <c r="F51" s="19" t="n">
        <v>0</v>
      </c>
      <c r="G51" s="19" t="n">
        <v>7150</v>
      </c>
      <c r="H51" s="18" t="str">
        <f aca="false">IF(G51&lt;=0,"Paid",IF(F51&gt;0,"Partial","Unpaid"))</f>
        <v>Unpaid</v>
      </c>
      <c r="I51" s="18" t="s">
        <v>90</v>
      </c>
      <c r="J51" s="9"/>
    </row>
    <row r="52" customFormat="false" ht="18.75" hidden="false" customHeight="true" outlineLevel="0" collapsed="false">
      <c r="A52" s="20" t="n">
        <v>48</v>
      </c>
      <c r="B52" s="21" t="s">
        <v>189</v>
      </c>
      <c r="C52" s="24" t="s">
        <v>190</v>
      </c>
      <c r="D52" s="13" t="s">
        <v>38</v>
      </c>
      <c r="E52" s="22" t="n">
        <f aca="false">F52+G52</f>
        <v>106490</v>
      </c>
      <c r="F52" s="22" t="n">
        <v>0</v>
      </c>
      <c r="G52" s="22" t="n">
        <v>106490</v>
      </c>
      <c r="H52" s="21" t="str">
        <f aca="false">IF(G52&lt;=0,"Paid",IF(F52&gt;0,"Partial","Unpaid"))</f>
        <v>Unpaid</v>
      </c>
      <c r="I52" s="21" t="s">
        <v>90</v>
      </c>
      <c r="J52" s="13"/>
    </row>
    <row r="53" customFormat="false" ht="18.75" hidden="false" customHeight="true" outlineLevel="0" collapsed="false">
      <c r="A53" s="17" t="n">
        <v>49</v>
      </c>
      <c r="B53" s="18" t="s">
        <v>191</v>
      </c>
      <c r="C53" s="23" t="s">
        <v>192</v>
      </c>
      <c r="D53" s="9" t="s">
        <v>38</v>
      </c>
      <c r="E53" s="19" t="n">
        <f aca="false">F53+G53</f>
        <v>288653</v>
      </c>
      <c r="F53" s="19" t="n">
        <v>0</v>
      </c>
      <c r="G53" s="19" t="n">
        <v>288653</v>
      </c>
      <c r="H53" s="18" t="str">
        <f aca="false">IF(G53&lt;=0,"Paid",IF(F53&gt;0,"Partial","Unpaid"))</f>
        <v>Unpaid</v>
      </c>
      <c r="I53" s="18" t="s">
        <v>90</v>
      </c>
      <c r="J53" s="9"/>
    </row>
    <row r="54" customFormat="false" ht="18.75" hidden="false" customHeight="true" outlineLevel="0" collapsed="false">
      <c r="A54" s="20" t="n">
        <v>50</v>
      </c>
      <c r="B54" s="21" t="s">
        <v>193</v>
      </c>
      <c r="C54" s="24" t="s">
        <v>194</v>
      </c>
      <c r="D54" s="13" t="s">
        <v>38</v>
      </c>
      <c r="E54" s="22" t="n">
        <f aca="false">F54+G54</f>
        <v>69638.88</v>
      </c>
      <c r="F54" s="22" t="n">
        <v>0</v>
      </c>
      <c r="G54" s="22" t="n">
        <v>69638.88</v>
      </c>
      <c r="H54" s="21" t="str">
        <f aca="false">IF(G54&lt;=0,"Paid",IF(F54&gt;0,"Partial","Unpaid"))</f>
        <v>Unpaid</v>
      </c>
      <c r="I54" s="21" t="s">
        <v>90</v>
      </c>
      <c r="J54" s="13"/>
    </row>
    <row r="55" customFormat="false" ht="18.75" hidden="false" customHeight="true" outlineLevel="0" collapsed="false">
      <c r="A55" s="17" t="n">
        <v>51</v>
      </c>
      <c r="B55" s="18" t="s">
        <v>195</v>
      </c>
      <c r="C55" s="23" t="s">
        <v>196</v>
      </c>
      <c r="D55" s="9" t="s">
        <v>40</v>
      </c>
      <c r="E55" s="19" t="n">
        <f aca="false">F55+G55</f>
        <v>64352.5</v>
      </c>
      <c r="F55" s="19" t="n">
        <v>0</v>
      </c>
      <c r="G55" s="19" t="n">
        <v>64352.5</v>
      </c>
      <c r="H55" s="18" t="str">
        <f aca="false">IF(G55&lt;=0,"Paid",IF(F55&gt;0,"Partial","Unpaid"))</f>
        <v>Unpaid</v>
      </c>
      <c r="I55" s="18" t="s">
        <v>90</v>
      </c>
      <c r="J55" s="9"/>
    </row>
    <row r="56" customFormat="false" ht="18.75" hidden="false" customHeight="true" outlineLevel="0" collapsed="false">
      <c r="A56" s="20" t="n">
        <v>52</v>
      </c>
      <c r="B56" s="21" t="s">
        <v>197</v>
      </c>
      <c r="C56" s="24" t="s">
        <v>198</v>
      </c>
      <c r="D56" s="13" t="s">
        <v>38</v>
      </c>
      <c r="E56" s="22" t="n">
        <f aca="false">F56+G56</f>
        <v>93906.75</v>
      </c>
      <c r="F56" s="22" t="n">
        <v>0</v>
      </c>
      <c r="G56" s="22" t="n">
        <v>93906.75</v>
      </c>
      <c r="H56" s="21" t="str">
        <f aca="false">IF(G56&lt;=0,"Paid",IF(F56&gt;0,"Partial","Unpaid"))</f>
        <v>Unpaid</v>
      </c>
      <c r="I56" s="21" t="s">
        <v>90</v>
      </c>
      <c r="J56" s="13"/>
    </row>
    <row r="57" customFormat="false" ht="18.75" hidden="false" customHeight="true" outlineLevel="0" collapsed="false">
      <c r="A57" s="17" t="n">
        <v>53</v>
      </c>
      <c r="B57" s="18" t="s">
        <v>199</v>
      </c>
      <c r="C57" s="23" t="s">
        <v>200</v>
      </c>
      <c r="D57" s="9" t="s">
        <v>38</v>
      </c>
      <c r="E57" s="19" t="n">
        <f aca="false">F57+G57</f>
        <v>104597.63</v>
      </c>
      <c r="F57" s="19" t="n">
        <v>0</v>
      </c>
      <c r="G57" s="19" t="n">
        <v>104597.63</v>
      </c>
      <c r="H57" s="18" t="str">
        <f aca="false">IF(G57&lt;=0,"Paid",IF(F57&gt;0,"Partial","Unpaid"))</f>
        <v>Unpaid</v>
      </c>
      <c r="I57" s="18" t="s">
        <v>90</v>
      </c>
      <c r="J57" s="9"/>
    </row>
    <row r="58" customFormat="false" ht="18.75" hidden="false" customHeight="true" outlineLevel="0" collapsed="false">
      <c r="A58" s="20" t="n">
        <v>54</v>
      </c>
      <c r="B58" s="21" t="s">
        <v>201</v>
      </c>
      <c r="C58" s="24" t="s">
        <v>200</v>
      </c>
      <c r="D58" s="13" t="s">
        <v>38</v>
      </c>
      <c r="E58" s="22" t="n">
        <f aca="false">F58+G58</f>
        <v>114750</v>
      </c>
      <c r="F58" s="22" t="n">
        <v>0</v>
      </c>
      <c r="G58" s="22" t="n">
        <v>114750</v>
      </c>
      <c r="H58" s="21" t="str">
        <f aca="false">IF(G58&lt;=0,"Paid",IF(F58&gt;0,"Partial","Unpaid"))</f>
        <v>Unpaid</v>
      </c>
      <c r="I58" s="21" t="s">
        <v>90</v>
      </c>
      <c r="J58" s="13"/>
    </row>
    <row r="59" customFormat="false" ht="18.75" hidden="false" customHeight="true" outlineLevel="0" collapsed="false">
      <c r="A59" s="17" t="n">
        <v>55</v>
      </c>
      <c r="B59" s="18" t="s">
        <v>202</v>
      </c>
      <c r="C59" s="23" t="s">
        <v>203</v>
      </c>
      <c r="D59" s="9" t="s">
        <v>38</v>
      </c>
      <c r="E59" s="19" t="n">
        <f aca="false">F59+G59</f>
        <v>112727.5</v>
      </c>
      <c r="F59" s="19" t="n">
        <v>0</v>
      </c>
      <c r="G59" s="19" t="n">
        <v>112727.5</v>
      </c>
      <c r="H59" s="18" t="str">
        <f aca="false">IF(G59&lt;=0,"Paid",IF(F59&gt;0,"Partial","Unpaid"))</f>
        <v>Unpaid</v>
      </c>
      <c r="I59" s="18" t="s">
        <v>90</v>
      </c>
      <c r="J59" s="9"/>
    </row>
    <row r="60" customFormat="false" ht="18.75" hidden="false" customHeight="true" outlineLevel="0" collapsed="false">
      <c r="A60" s="20" t="n">
        <v>56</v>
      </c>
      <c r="B60" s="21" t="s">
        <v>204</v>
      </c>
      <c r="C60" s="24" t="s">
        <v>203</v>
      </c>
      <c r="D60" s="13" t="s">
        <v>40</v>
      </c>
      <c r="E60" s="22" t="n">
        <f aca="false">F60+G60</f>
        <v>99529.13</v>
      </c>
      <c r="F60" s="22" t="n">
        <v>0</v>
      </c>
      <c r="G60" s="22" t="n">
        <v>99529.13</v>
      </c>
      <c r="H60" s="21" t="str">
        <f aca="false">IF(G60&lt;=0,"Paid",IF(F60&gt;0,"Partial","Unpaid"))</f>
        <v>Unpaid</v>
      </c>
      <c r="I60" s="21" t="s">
        <v>90</v>
      </c>
      <c r="J60" s="13"/>
    </row>
    <row r="61" customFormat="false" ht="18.75" hidden="false" customHeight="true" outlineLevel="0" collapsed="false">
      <c r="A61" s="17" t="n">
        <v>57</v>
      </c>
      <c r="B61" s="18" t="s">
        <v>205</v>
      </c>
      <c r="C61" s="23" t="s">
        <v>206</v>
      </c>
      <c r="D61" s="9" t="s">
        <v>46</v>
      </c>
      <c r="E61" s="19" t="n">
        <f aca="false">F61+G61</f>
        <v>79932.88</v>
      </c>
      <c r="F61" s="19" t="n">
        <v>20000</v>
      </c>
      <c r="G61" s="19" t="n">
        <v>59932.88</v>
      </c>
      <c r="H61" s="18" t="str">
        <f aca="false">IF(G61&lt;=0,"Paid",IF(F61&gt;0,"Partial","Unpaid"))</f>
        <v>Partial</v>
      </c>
      <c r="I61" s="18" t="s">
        <v>90</v>
      </c>
      <c r="J61" s="9"/>
    </row>
    <row r="62" customFormat="false" ht="18.75" hidden="false" customHeight="true" outlineLevel="0" collapsed="false">
      <c r="A62" s="20" t="n">
        <v>58</v>
      </c>
      <c r="B62" s="21" t="s">
        <v>207</v>
      </c>
      <c r="C62" s="24" t="s">
        <v>208</v>
      </c>
      <c r="D62" s="13" t="s">
        <v>209</v>
      </c>
      <c r="E62" s="22" t="n">
        <f aca="false">F62+G62</f>
        <v>48000</v>
      </c>
      <c r="F62" s="22" t="n">
        <v>48000</v>
      </c>
      <c r="G62" s="22" t="n">
        <v>0</v>
      </c>
      <c r="H62" s="21" t="str">
        <f aca="false">IF(G62&lt;=0,"Paid",IF(F62&gt;0,"Partial","Unpaid"))</f>
        <v>Paid</v>
      </c>
      <c r="I62" s="21" t="s">
        <v>147</v>
      </c>
      <c r="J62" s="13"/>
    </row>
    <row r="63" customFormat="false" ht="18.75" hidden="false" customHeight="true" outlineLevel="0" collapsed="false">
      <c r="A63" s="17" t="n">
        <v>59</v>
      </c>
      <c r="B63" s="18" t="s">
        <v>210</v>
      </c>
      <c r="C63" s="23" t="s">
        <v>211</v>
      </c>
      <c r="D63" s="9" t="s">
        <v>40</v>
      </c>
      <c r="E63" s="19" t="n">
        <f aca="false">F63+G63</f>
        <v>102724</v>
      </c>
      <c r="F63" s="19" t="n">
        <v>0</v>
      </c>
      <c r="G63" s="19" t="n">
        <v>102724</v>
      </c>
      <c r="H63" s="18" t="str">
        <f aca="false">IF(G63&lt;=0,"Paid",IF(F63&gt;0,"Partial","Unpaid"))</f>
        <v>Unpaid</v>
      </c>
      <c r="I63" s="18" t="s">
        <v>90</v>
      </c>
      <c r="J63" s="9"/>
    </row>
    <row r="64" customFormat="false" ht="18.75" hidden="false" customHeight="true" outlineLevel="0" collapsed="false">
      <c r="A64" s="20" t="n">
        <v>60</v>
      </c>
      <c r="B64" s="21" t="s">
        <v>212</v>
      </c>
      <c r="C64" s="24" t="s">
        <v>213</v>
      </c>
      <c r="D64" s="13" t="s">
        <v>38</v>
      </c>
      <c r="E64" s="22" t="n">
        <f aca="false">F64+G64</f>
        <v>114296.75</v>
      </c>
      <c r="F64" s="22" t="n">
        <v>0</v>
      </c>
      <c r="G64" s="22" t="n">
        <v>114296.75</v>
      </c>
      <c r="H64" s="21" t="str">
        <f aca="false">IF(G64&lt;=0,"Paid",IF(F64&gt;0,"Partial","Unpaid"))</f>
        <v>Unpaid</v>
      </c>
      <c r="I64" s="21" t="s">
        <v>90</v>
      </c>
      <c r="J64" s="13"/>
    </row>
    <row r="65" customFormat="false" ht="18.75" hidden="false" customHeight="true" outlineLevel="0" collapsed="false">
      <c r="A65" s="17" t="n">
        <v>61</v>
      </c>
      <c r="B65" s="18" t="s">
        <v>214</v>
      </c>
      <c r="C65" s="23" t="s">
        <v>215</v>
      </c>
      <c r="D65" s="9" t="s">
        <v>38</v>
      </c>
      <c r="E65" s="19" t="n">
        <f aca="false">F65+G65</f>
        <v>153000</v>
      </c>
      <c r="F65" s="19" t="n">
        <v>0</v>
      </c>
      <c r="G65" s="19" t="n">
        <v>153000</v>
      </c>
      <c r="H65" s="18" t="str">
        <f aca="false">IF(G65&lt;=0,"Paid",IF(F65&gt;0,"Partial","Unpaid"))</f>
        <v>Unpaid</v>
      </c>
      <c r="I65" s="18" t="s">
        <v>90</v>
      </c>
      <c r="J65" s="9"/>
    </row>
    <row r="66" customFormat="false" ht="18.75" hidden="false" customHeight="true" outlineLevel="0" collapsed="false">
      <c r="A66" s="20" t="n">
        <v>62</v>
      </c>
      <c r="B66" s="21" t="s">
        <v>216</v>
      </c>
      <c r="C66" s="24" t="s">
        <v>217</v>
      </c>
      <c r="D66" s="13" t="s">
        <v>38</v>
      </c>
      <c r="E66" s="22" t="n">
        <f aca="false">F66+G66</f>
        <v>57818.13</v>
      </c>
      <c r="F66" s="22" t="n">
        <v>0</v>
      </c>
      <c r="G66" s="22" t="n">
        <v>57818.13</v>
      </c>
      <c r="H66" s="21" t="str">
        <f aca="false">IF(G66&lt;=0,"Paid",IF(F66&gt;0,"Partial","Unpaid"))</f>
        <v>Unpaid</v>
      </c>
      <c r="I66" s="21" t="s">
        <v>90</v>
      </c>
      <c r="J66" s="13"/>
    </row>
    <row r="67" customFormat="false" ht="18.75" hidden="false" customHeight="true" outlineLevel="0" collapsed="false">
      <c r="A67" s="17" t="n">
        <v>63</v>
      </c>
      <c r="B67" s="18" t="s">
        <v>218</v>
      </c>
      <c r="C67" s="23" t="s">
        <v>219</v>
      </c>
      <c r="D67" s="9" t="s">
        <v>38</v>
      </c>
      <c r="E67" s="19" t="n">
        <f aca="false">F67+G67</f>
        <v>88150</v>
      </c>
      <c r="F67" s="19" t="n">
        <v>0</v>
      </c>
      <c r="G67" s="19" t="n">
        <v>88150</v>
      </c>
      <c r="H67" s="18" t="str">
        <f aca="false">IF(G67&lt;=0,"Paid",IF(F67&gt;0,"Partial","Unpaid"))</f>
        <v>Unpaid</v>
      </c>
      <c r="I67" s="18" t="s">
        <v>90</v>
      </c>
      <c r="J67" s="9"/>
    </row>
    <row r="68" customFormat="false" ht="18.75" hidden="false" customHeight="true" outlineLevel="0" collapsed="false">
      <c r="A68" s="20" t="n">
        <v>64</v>
      </c>
      <c r="B68" s="21" t="s">
        <v>220</v>
      </c>
      <c r="C68" s="24" t="s">
        <v>221</v>
      </c>
      <c r="D68" s="13" t="s">
        <v>38</v>
      </c>
      <c r="E68" s="22" t="n">
        <f aca="false">F68+G68</f>
        <v>249845.63</v>
      </c>
      <c r="F68" s="22" t="n">
        <v>0</v>
      </c>
      <c r="G68" s="22" t="n">
        <v>249845.63</v>
      </c>
      <c r="H68" s="21" t="str">
        <f aca="false">IF(G68&lt;=0,"Paid",IF(F68&gt;0,"Partial","Unpaid"))</f>
        <v>Unpaid</v>
      </c>
      <c r="I68" s="21" t="s">
        <v>90</v>
      </c>
      <c r="J68" s="13"/>
    </row>
    <row r="69" customFormat="false" ht="18.75" hidden="false" customHeight="true" outlineLevel="0" collapsed="false">
      <c r="A69" s="17" t="n">
        <v>65</v>
      </c>
      <c r="B69" s="18" t="s">
        <v>222</v>
      </c>
      <c r="C69" s="23" t="s">
        <v>221</v>
      </c>
      <c r="D69" s="9" t="s">
        <v>40</v>
      </c>
      <c r="E69" s="19" t="n">
        <f aca="false">F69+G69</f>
        <v>145028.69</v>
      </c>
      <c r="F69" s="19" t="n">
        <v>0</v>
      </c>
      <c r="G69" s="19" t="n">
        <v>145028.69</v>
      </c>
      <c r="H69" s="18" t="str">
        <f aca="false">IF(G69&lt;=0,"Paid",IF(F69&gt;0,"Partial","Unpaid"))</f>
        <v>Unpaid</v>
      </c>
      <c r="I69" s="18" t="s">
        <v>90</v>
      </c>
      <c r="J69" s="9"/>
    </row>
    <row r="70" customFormat="false" ht="18.75" hidden="false" customHeight="true" outlineLevel="0" collapsed="false">
      <c r="A70" s="20" t="n">
        <v>66</v>
      </c>
      <c r="B70" s="21" t="s">
        <v>223</v>
      </c>
      <c r="C70" s="24" t="s">
        <v>224</v>
      </c>
      <c r="D70" s="13" t="s">
        <v>46</v>
      </c>
      <c r="E70" s="22" t="n">
        <f aca="false">F70+G70</f>
        <v>71191</v>
      </c>
      <c r="F70" s="22" t="n">
        <v>0</v>
      </c>
      <c r="G70" s="22" t="n">
        <v>71191</v>
      </c>
      <c r="H70" s="21" t="str">
        <f aca="false">IF(G70&lt;=0,"Paid",IF(F70&gt;0,"Partial","Unpaid"))</f>
        <v>Unpaid</v>
      </c>
      <c r="I70" s="21" t="s">
        <v>90</v>
      </c>
      <c r="J70" s="13"/>
    </row>
    <row r="71" customFormat="false" ht="18.75" hidden="false" customHeight="true" outlineLevel="0" collapsed="false">
      <c r="A71" s="17" t="n">
        <v>67</v>
      </c>
      <c r="B71" s="18" t="s">
        <v>225</v>
      </c>
      <c r="C71" s="23" t="s">
        <v>224</v>
      </c>
      <c r="D71" s="9" t="s">
        <v>38</v>
      </c>
      <c r="E71" s="19" t="n">
        <f aca="false">F71+G71</f>
        <v>132669.5</v>
      </c>
      <c r="F71" s="19" t="n">
        <v>0</v>
      </c>
      <c r="G71" s="19" t="n">
        <v>132669.5</v>
      </c>
      <c r="H71" s="18" t="str">
        <f aca="false">IF(G71&lt;=0,"Paid",IF(F71&gt;0,"Partial","Unpaid"))</f>
        <v>Unpaid</v>
      </c>
      <c r="I71" s="18" t="s">
        <v>90</v>
      </c>
      <c r="J71" s="9"/>
    </row>
    <row r="72" customFormat="false" ht="18.75" hidden="false" customHeight="true" outlineLevel="0" collapsed="false">
      <c r="A72" s="20" t="n">
        <v>68</v>
      </c>
      <c r="B72" s="21" t="s">
        <v>226</v>
      </c>
      <c r="C72" s="24" t="s">
        <v>224</v>
      </c>
      <c r="D72" s="13" t="s">
        <v>38</v>
      </c>
      <c r="E72" s="22" t="n">
        <f aca="false">F72+G72</f>
        <v>43057</v>
      </c>
      <c r="F72" s="22" t="n">
        <v>0</v>
      </c>
      <c r="G72" s="22" t="n">
        <v>43057</v>
      </c>
      <c r="H72" s="21" t="str">
        <f aca="false">IF(G72&lt;=0,"Paid",IF(F72&gt;0,"Partial","Unpaid"))</f>
        <v>Unpaid</v>
      </c>
      <c r="I72" s="21" t="s">
        <v>90</v>
      </c>
      <c r="J72" s="13"/>
    </row>
    <row r="73" customFormat="false" ht="18.75" hidden="false" customHeight="true" outlineLevel="0" collapsed="false">
      <c r="A73" s="17" t="n">
        <v>69</v>
      </c>
      <c r="B73" s="18" t="s">
        <v>227</v>
      </c>
      <c r="C73" s="23" t="s">
        <v>228</v>
      </c>
      <c r="D73" s="9" t="s">
        <v>46</v>
      </c>
      <c r="E73" s="19" t="n">
        <f aca="false">F73+G73</f>
        <v>11976.25</v>
      </c>
      <c r="F73" s="19" t="n">
        <v>0</v>
      </c>
      <c r="G73" s="19" t="n">
        <v>11976.25</v>
      </c>
      <c r="H73" s="18" t="str">
        <f aca="false">IF(G73&lt;=0,"Paid",IF(F73&gt;0,"Partial","Unpaid"))</f>
        <v>Unpaid</v>
      </c>
      <c r="I73" s="18" t="s">
        <v>90</v>
      </c>
      <c r="J73" s="9"/>
    </row>
    <row r="74" customFormat="false" ht="18.75" hidden="false" customHeight="true" outlineLevel="0" collapsed="false">
      <c r="A74" s="20" t="n">
        <v>70</v>
      </c>
      <c r="B74" s="21" t="s">
        <v>229</v>
      </c>
      <c r="C74" s="24" t="s">
        <v>230</v>
      </c>
      <c r="D74" s="13" t="s">
        <v>96</v>
      </c>
      <c r="E74" s="22" t="n">
        <f aca="false">F74+G74</f>
        <v>26512</v>
      </c>
      <c r="F74" s="22" t="n">
        <v>0</v>
      </c>
      <c r="G74" s="22" t="n">
        <v>26512</v>
      </c>
      <c r="H74" s="21" t="str">
        <f aca="false">IF(G74&lt;=0,"Paid",IF(F74&gt;0,"Partial","Unpaid"))</f>
        <v>Unpaid</v>
      </c>
      <c r="I74" s="21" t="s">
        <v>90</v>
      </c>
      <c r="J74" s="13"/>
    </row>
    <row r="75" customFormat="false" ht="18.75" hidden="false" customHeight="true" outlineLevel="0" collapsed="false">
      <c r="A75" s="17" t="n">
        <v>71</v>
      </c>
      <c r="B75" s="18" t="s">
        <v>231</v>
      </c>
      <c r="C75" s="23" t="s">
        <v>232</v>
      </c>
      <c r="D75" s="9" t="s">
        <v>233</v>
      </c>
      <c r="E75" s="19" t="n">
        <f aca="false">F75+G75</f>
        <v>8010</v>
      </c>
      <c r="F75" s="19" t="n">
        <v>5000</v>
      </c>
      <c r="G75" s="19" t="n">
        <v>3010</v>
      </c>
      <c r="H75" s="18" t="str">
        <f aca="false">IF(G75&lt;=0,"Paid",IF(F75&gt;0,"Partial","Unpaid"))</f>
        <v>Partial</v>
      </c>
      <c r="I75" s="18" t="s">
        <v>90</v>
      </c>
      <c r="J75" s="9"/>
    </row>
    <row r="76" customFormat="false" ht="18.75" hidden="false" customHeight="true" outlineLevel="0" collapsed="false">
      <c r="A76" s="20" t="n">
        <v>72</v>
      </c>
      <c r="B76" s="21" t="s">
        <v>234</v>
      </c>
      <c r="C76" s="24" t="s">
        <v>232</v>
      </c>
      <c r="D76" s="13" t="s">
        <v>38</v>
      </c>
      <c r="E76" s="22" t="n">
        <f aca="false">F76+G76</f>
        <v>88625.13</v>
      </c>
      <c r="F76" s="22" t="n">
        <v>0</v>
      </c>
      <c r="G76" s="22" t="n">
        <v>88625.13</v>
      </c>
      <c r="H76" s="21" t="str">
        <f aca="false">IF(G76&lt;=0,"Paid",IF(F76&gt;0,"Partial","Unpaid"))</f>
        <v>Unpaid</v>
      </c>
      <c r="I76" s="21" t="s">
        <v>90</v>
      </c>
      <c r="J76" s="13"/>
    </row>
    <row r="77" customFormat="false" ht="18.75" hidden="false" customHeight="true" outlineLevel="0" collapsed="false">
      <c r="A77" s="17" t="n">
        <v>73</v>
      </c>
      <c r="B77" s="18" t="s">
        <v>235</v>
      </c>
      <c r="C77" s="23" t="s">
        <v>236</v>
      </c>
      <c r="D77" s="9" t="s">
        <v>40</v>
      </c>
      <c r="E77" s="19" t="n">
        <f aca="false">F77+G77</f>
        <v>183358.19</v>
      </c>
      <c r="F77" s="19" t="n">
        <v>0</v>
      </c>
      <c r="G77" s="19" t="n">
        <v>183358.19</v>
      </c>
      <c r="H77" s="18" t="str">
        <f aca="false">IF(G77&lt;=0,"Paid",IF(F77&gt;0,"Partial","Unpaid"))</f>
        <v>Unpaid</v>
      </c>
      <c r="I77" s="18" t="s">
        <v>90</v>
      </c>
      <c r="J77" s="9"/>
    </row>
    <row r="78" customFormat="false" ht="18.75" hidden="false" customHeight="true" outlineLevel="0" collapsed="false">
      <c r="A78" s="20" t="n">
        <v>74</v>
      </c>
      <c r="B78" s="21" t="s">
        <v>237</v>
      </c>
      <c r="C78" s="24" t="s">
        <v>238</v>
      </c>
      <c r="D78" s="13" t="s">
        <v>233</v>
      </c>
      <c r="E78" s="22" t="n">
        <f aca="false">F78+G78</f>
        <v>7800</v>
      </c>
      <c r="F78" s="22" t="n">
        <v>5000</v>
      </c>
      <c r="G78" s="22" t="n">
        <v>2800</v>
      </c>
      <c r="H78" s="21" t="str">
        <f aca="false">IF(G78&lt;=0,"Paid",IF(F78&gt;0,"Partial","Unpaid"))</f>
        <v>Partial</v>
      </c>
      <c r="I78" s="21" t="s">
        <v>90</v>
      </c>
      <c r="J78" s="13"/>
    </row>
    <row r="79" customFormat="false" ht="18.75" hidden="false" customHeight="true" outlineLevel="0" collapsed="false">
      <c r="A79" s="17" t="n">
        <v>75</v>
      </c>
      <c r="B79" s="18" t="s">
        <v>239</v>
      </c>
      <c r="C79" s="23" t="s">
        <v>240</v>
      </c>
      <c r="D79" s="9" t="s">
        <v>233</v>
      </c>
      <c r="E79" s="19" t="n">
        <f aca="false">F79+G79</f>
        <v>2250</v>
      </c>
      <c r="F79" s="19" t="n">
        <v>0</v>
      </c>
      <c r="G79" s="19" t="n">
        <v>2250</v>
      </c>
      <c r="H79" s="18" t="str">
        <f aca="false">IF(G79&lt;=0,"Paid",IF(F79&gt;0,"Partial","Unpaid"))</f>
        <v>Unpaid</v>
      </c>
      <c r="I79" s="18" t="s">
        <v>90</v>
      </c>
      <c r="J79" s="9"/>
    </row>
    <row r="80" customFormat="false" ht="18.75" hidden="false" customHeight="true" outlineLevel="0" collapsed="false">
      <c r="A80" s="20" t="n">
        <v>76</v>
      </c>
      <c r="B80" s="21" t="s">
        <v>241</v>
      </c>
      <c r="C80" s="24" t="s">
        <v>242</v>
      </c>
      <c r="D80" s="13" t="s">
        <v>46</v>
      </c>
      <c r="E80" s="22" t="n">
        <f aca="false">F80+G80</f>
        <v>77635.5</v>
      </c>
      <c r="F80" s="22" t="n">
        <v>0</v>
      </c>
      <c r="G80" s="22" t="n">
        <v>77635.5</v>
      </c>
      <c r="H80" s="21" t="str">
        <f aca="false">IF(G80&lt;=0,"Paid",IF(F80&gt;0,"Partial","Unpaid"))</f>
        <v>Unpaid</v>
      </c>
      <c r="I80" s="21" t="s">
        <v>90</v>
      </c>
      <c r="J80" s="13"/>
    </row>
    <row r="81" customFormat="false" ht="18.75" hidden="false" customHeight="true" outlineLevel="0" collapsed="false">
      <c r="A81" s="17" t="n">
        <v>77</v>
      </c>
      <c r="B81" s="18" t="s">
        <v>243</v>
      </c>
      <c r="C81" s="23" t="s">
        <v>244</v>
      </c>
      <c r="D81" s="9" t="s">
        <v>38</v>
      </c>
      <c r="E81" s="19" t="n">
        <f aca="false">F81+G81</f>
        <v>59650</v>
      </c>
      <c r="F81" s="19" t="n">
        <v>0</v>
      </c>
      <c r="G81" s="19" t="n">
        <v>59650</v>
      </c>
      <c r="H81" s="18" t="str">
        <f aca="false">IF(G81&lt;=0,"Paid",IF(F81&gt;0,"Partial","Unpaid"))</f>
        <v>Unpaid</v>
      </c>
      <c r="I81" s="18" t="s">
        <v>90</v>
      </c>
      <c r="J81" s="9"/>
    </row>
    <row r="82" customFormat="false" ht="18.75" hidden="false" customHeight="true" outlineLevel="0" collapsed="false">
      <c r="A82" s="20" t="n">
        <v>78</v>
      </c>
      <c r="B82" s="21" t="s">
        <v>245</v>
      </c>
      <c r="C82" s="24" t="s">
        <v>244</v>
      </c>
      <c r="D82" s="13" t="s">
        <v>40</v>
      </c>
      <c r="E82" s="22" t="n">
        <f aca="false">F82+G82</f>
        <v>80762.44</v>
      </c>
      <c r="F82" s="22" t="n">
        <v>0</v>
      </c>
      <c r="G82" s="22" t="n">
        <v>80762.44</v>
      </c>
      <c r="H82" s="21" t="str">
        <f aca="false">IF(G82&lt;=0,"Paid",IF(F82&gt;0,"Partial","Unpaid"))</f>
        <v>Unpaid</v>
      </c>
      <c r="I82" s="21" t="s">
        <v>90</v>
      </c>
      <c r="J82" s="13"/>
    </row>
    <row r="83" customFormat="false" ht="18.75" hidden="false" customHeight="true" outlineLevel="0" collapsed="false">
      <c r="A83" s="17" t="n">
        <v>79</v>
      </c>
      <c r="B83" s="18" t="s">
        <v>246</v>
      </c>
      <c r="C83" s="23" t="s">
        <v>247</v>
      </c>
      <c r="D83" s="9" t="s">
        <v>121</v>
      </c>
      <c r="E83" s="19" t="n">
        <f aca="false">F83+G83</f>
        <v>22500</v>
      </c>
      <c r="F83" s="19" t="n">
        <v>0</v>
      </c>
      <c r="G83" s="19" t="n">
        <v>22500</v>
      </c>
      <c r="H83" s="18" t="str">
        <f aca="false">IF(G83&lt;=0,"Paid",IF(F83&gt;0,"Partial","Unpaid"))</f>
        <v>Unpaid</v>
      </c>
      <c r="I83" s="18" t="s">
        <v>90</v>
      </c>
      <c r="J83" s="9"/>
    </row>
    <row r="84" customFormat="false" ht="18.75" hidden="false" customHeight="true" outlineLevel="0" collapsed="false">
      <c r="A84" s="20" t="n">
        <v>80</v>
      </c>
      <c r="B84" s="21" t="s">
        <v>248</v>
      </c>
      <c r="C84" s="24" t="s">
        <v>247</v>
      </c>
      <c r="D84" s="13" t="s">
        <v>38</v>
      </c>
      <c r="E84" s="22" t="n">
        <f aca="false">F84+G84</f>
        <v>125406.5</v>
      </c>
      <c r="F84" s="22" t="n">
        <v>33700</v>
      </c>
      <c r="G84" s="22" t="n">
        <v>91706.5</v>
      </c>
      <c r="H84" s="21" t="str">
        <f aca="false">IF(G84&lt;=0,"Paid",IF(F84&gt;0,"Partial","Unpaid"))</f>
        <v>Partial</v>
      </c>
      <c r="I84" s="21" t="s">
        <v>90</v>
      </c>
      <c r="J84" s="13" t="s">
        <v>249</v>
      </c>
    </row>
    <row r="85" customFormat="false" ht="18.75" hidden="false" customHeight="true" outlineLevel="0" collapsed="false">
      <c r="A85" s="17" t="n">
        <v>81</v>
      </c>
      <c r="B85" s="18" t="s">
        <v>250</v>
      </c>
      <c r="C85" s="23" t="s">
        <v>251</v>
      </c>
      <c r="D85" s="9" t="s">
        <v>46</v>
      </c>
      <c r="E85" s="19" t="n">
        <f aca="false">F85+G85</f>
        <v>57000</v>
      </c>
      <c r="F85" s="19" t="n">
        <v>0</v>
      </c>
      <c r="G85" s="19" t="n">
        <v>57000</v>
      </c>
      <c r="H85" s="18" t="str">
        <f aca="false">IF(G85&lt;=0,"Paid",IF(F85&gt;0,"Partial","Unpaid"))</f>
        <v>Unpaid</v>
      </c>
      <c r="I85" s="18" t="s">
        <v>90</v>
      </c>
      <c r="J85" s="9"/>
    </row>
    <row r="86" customFormat="false" ht="18.75" hidden="false" customHeight="true" outlineLevel="0" collapsed="false">
      <c r="A86" s="20" t="n">
        <v>82</v>
      </c>
      <c r="B86" s="21" t="s">
        <v>252</v>
      </c>
      <c r="C86" s="24" t="s">
        <v>253</v>
      </c>
      <c r="D86" s="13" t="s">
        <v>56</v>
      </c>
      <c r="E86" s="22" t="n">
        <f aca="false">F86+G86</f>
        <v>40320</v>
      </c>
      <c r="F86" s="22" t="n">
        <v>40320</v>
      </c>
      <c r="G86" s="22" t="n">
        <v>0</v>
      </c>
      <c r="H86" s="21" t="str">
        <f aca="false">IF(G86&lt;=0,"Paid",IF(F86&gt;0,"Partial","Unpaid"))</f>
        <v>Paid</v>
      </c>
      <c r="I86" s="21" t="s">
        <v>147</v>
      </c>
      <c r="J86" s="13"/>
    </row>
    <row r="87" customFormat="false" ht="18.75" hidden="false" customHeight="true" outlineLevel="0" collapsed="false">
      <c r="A87" s="17" t="n">
        <v>83</v>
      </c>
      <c r="B87" s="18" t="s">
        <v>254</v>
      </c>
      <c r="C87" s="23" t="s">
        <v>255</v>
      </c>
      <c r="D87" s="9" t="s">
        <v>38</v>
      </c>
      <c r="E87" s="19" t="n">
        <f aca="false">F87+G87</f>
        <v>125000</v>
      </c>
      <c r="F87" s="19" t="n">
        <v>0</v>
      </c>
      <c r="G87" s="19" t="n">
        <v>125000</v>
      </c>
      <c r="H87" s="18" t="str">
        <f aca="false">IF(G87&lt;=0,"Paid",IF(F87&gt;0,"Partial","Unpaid"))</f>
        <v>Unpaid</v>
      </c>
      <c r="I87" s="18" t="s">
        <v>90</v>
      </c>
      <c r="J87" s="9"/>
    </row>
    <row r="88" customFormat="false" ht="18.75" hidden="false" customHeight="true" outlineLevel="0" collapsed="false">
      <c r="A88" s="20" t="n">
        <v>84</v>
      </c>
      <c r="B88" s="21" t="s">
        <v>256</v>
      </c>
      <c r="C88" s="24" t="s">
        <v>257</v>
      </c>
      <c r="D88" s="13" t="s">
        <v>40</v>
      </c>
      <c r="E88" s="22" t="n">
        <f aca="false">F88+G88</f>
        <v>57349</v>
      </c>
      <c r="F88" s="22" t="n">
        <v>0</v>
      </c>
      <c r="G88" s="22" t="n">
        <v>57349</v>
      </c>
      <c r="H88" s="21" t="str">
        <f aca="false">IF(G88&lt;=0,"Paid",IF(F88&gt;0,"Partial","Unpaid"))</f>
        <v>Unpaid</v>
      </c>
      <c r="I88" s="21" t="s">
        <v>90</v>
      </c>
      <c r="J88" s="13"/>
    </row>
    <row r="89" customFormat="false" ht="18.75" hidden="false" customHeight="true" outlineLevel="0" collapsed="false">
      <c r="A89" s="17" t="n">
        <v>85</v>
      </c>
      <c r="B89" s="18" t="s">
        <v>258</v>
      </c>
      <c r="C89" s="23" t="s">
        <v>257</v>
      </c>
      <c r="D89" s="9" t="s">
        <v>46</v>
      </c>
      <c r="E89" s="19" t="n">
        <f aca="false">F89+G89</f>
        <v>29768</v>
      </c>
      <c r="F89" s="19" t="n">
        <v>0</v>
      </c>
      <c r="G89" s="19" t="n">
        <v>29768</v>
      </c>
      <c r="H89" s="18" t="str">
        <f aca="false">IF(G89&lt;=0,"Paid",IF(F89&gt;0,"Partial","Unpaid"))</f>
        <v>Unpaid</v>
      </c>
      <c r="I89" s="18" t="s">
        <v>90</v>
      </c>
      <c r="J89" s="9"/>
    </row>
    <row r="90" customFormat="false" ht="18.75" hidden="false" customHeight="true" outlineLevel="0" collapsed="false">
      <c r="A90" s="20" t="n">
        <v>86</v>
      </c>
      <c r="B90" s="21" t="s">
        <v>259</v>
      </c>
      <c r="C90" s="24" t="s">
        <v>260</v>
      </c>
      <c r="D90" s="13" t="s">
        <v>38</v>
      </c>
      <c r="E90" s="22" t="n">
        <f aca="false">F90+G90</f>
        <v>107453</v>
      </c>
      <c r="F90" s="22" t="n">
        <v>0</v>
      </c>
      <c r="G90" s="22" t="n">
        <v>107453</v>
      </c>
      <c r="H90" s="21" t="str">
        <f aca="false">IF(G90&lt;=0,"Paid",IF(F90&gt;0,"Partial","Unpaid"))</f>
        <v>Unpaid</v>
      </c>
      <c r="I90" s="21" t="s">
        <v>90</v>
      </c>
      <c r="J90" s="13"/>
    </row>
    <row r="91" customFormat="false" ht="18.75" hidden="false" customHeight="true" outlineLevel="0" collapsed="false">
      <c r="A91" s="17" t="n">
        <v>87</v>
      </c>
      <c r="B91" s="18" t="s">
        <v>261</v>
      </c>
      <c r="C91" s="23" t="s">
        <v>262</v>
      </c>
      <c r="D91" s="9" t="s">
        <v>56</v>
      </c>
      <c r="E91" s="19" t="n">
        <f aca="false">F91+G91</f>
        <v>40320</v>
      </c>
      <c r="F91" s="19" t="n">
        <v>40320</v>
      </c>
      <c r="G91" s="19" t="n">
        <v>0</v>
      </c>
      <c r="H91" s="18" t="str">
        <f aca="false">IF(G91&lt;=0,"Paid",IF(F91&gt;0,"Partial","Unpaid"))</f>
        <v>Paid</v>
      </c>
      <c r="I91" s="18" t="s">
        <v>147</v>
      </c>
      <c r="J91" s="9"/>
    </row>
    <row r="92" customFormat="false" ht="18.75" hidden="false" customHeight="true" outlineLevel="0" collapsed="false">
      <c r="A92" s="20" t="n">
        <v>88</v>
      </c>
      <c r="B92" s="21" t="s">
        <v>263</v>
      </c>
      <c r="C92" s="24" t="s">
        <v>264</v>
      </c>
      <c r="D92" s="13" t="s">
        <v>38</v>
      </c>
      <c r="E92" s="22" t="n">
        <f aca="false">F92+G92</f>
        <v>3900</v>
      </c>
      <c r="F92" s="22" t="n">
        <v>0</v>
      </c>
      <c r="G92" s="22" t="n">
        <v>3900</v>
      </c>
      <c r="H92" s="21" t="str">
        <f aca="false">IF(G92&lt;=0,"Paid",IF(F92&gt;0,"Partial","Unpaid"))</f>
        <v>Unpaid</v>
      </c>
      <c r="I92" s="21" t="s">
        <v>90</v>
      </c>
      <c r="J92" s="13"/>
    </row>
    <row r="93" customFormat="false" ht="18.75" hidden="false" customHeight="true" outlineLevel="0" collapsed="false">
      <c r="A93" s="17" t="n">
        <v>89</v>
      </c>
      <c r="B93" s="18" t="s">
        <v>265</v>
      </c>
      <c r="C93" s="23" t="s">
        <v>266</v>
      </c>
      <c r="D93" s="9" t="s">
        <v>40</v>
      </c>
      <c r="E93" s="19" t="n">
        <f aca="false">F93+G93</f>
        <v>85165.13</v>
      </c>
      <c r="F93" s="19" t="n">
        <v>0</v>
      </c>
      <c r="G93" s="19" t="n">
        <v>85165.13</v>
      </c>
      <c r="H93" s="18" t="str">
        <f aca="false">IF(G93&lt;=0,"Paid",IF(F93&gt;0,"Partial","Unpaid"))</f>
        <v>Unpaid</v>
      </c>
      <c r="I93" s="18" t="s">
        <v>90</v>
      </c>
      <c r="J93" s="9"/>
    </row>
    <row r="94" customFormat="false" ht="18.75" hidden="false" customHeight="true" outlineLevel="0" collapsed="false">
      <c r="A94" s="20" t="n">
        <v>90</v>
      </c>
      <c r="B94" s="21" t="s">
        <v>267</v>
      </c>
      <c r="C94" s="24" t="s">
        <v>266</v>
      </c>
      <c r="D94" s="13" t="s">
        <v>46</v>
      </c>
      <c r="E94" s="22" t="n">
        <f aca="false">F94+G94</f>
        <v>5776</v>
      </c>
      <c r="F94" s="22" t="n">
        <v>0</v>
      </c>
      <c r="G94" s="22" t="n">
        <v>5776</v>
      </c>
      <c r="H94" s="21" t="str">
        <f aca="false">IF(G94&lt;=0,"Paid",IF(F94&gt;0,"Partial","Unpaid"))</f>
        <v>Unpaid</v>
      </c>
      <c r="I94" s="21" t="s">
        <v>90</v>
      </c>
      <c r="J94" s="13"/>
    </row>
    <row r="95" customFormat="false" ht="18.75" hidden="false" customHeight="true" outlineLevel="0" collapsed="false">
      <c r="A95" s="17" t="n">
        <v>91</v>
      </c>
      <c r="B95" s="18" t="s">
        <v>268</v>
      </c>
      <c r="C95" s="23" t="s">
        <v>269</v>
      </c>
      <c r="D95" s="9" t="s">
        <v>38</v>
      </c>
      <c r="E95" s="19" t="n">
        <f aca="false">F95+G95</f>
        <v>54551</v>
      </c>
      <c r="F95" s="19" t="n">
        <v>0</v>
      </c>
      <c r="G95" s="19" t="n">
        <v>54551</v>
      </c>
      <c r="H95" s="18" t="str">
        <f aca="false">IF(G95&lt;=0,"Paid",IF(F95&gt;0,"Partial","Unpaid"))</f>
        <v>Unpaid</v>
      </c>
      <c r="I95" s="18" t="s">
        <v>90</v>
      </c>
      <c r="J95" s="9"/>
    </row>
    <row r="96" customFormat="false" ht="18.75" hidden="false" customHeight="true" outlineLevel="0" collapsed="false">
      <c r="A96" s="20" t="n">
        <v>92</v>
      </c>
      <c r="B96" s="21" t="s">
        <v>270</v>
      </c>
      <c r="C96" s="24" t="s">
        <v>271</v>
      </c>
      <c r="D96" s="13" t="s">
        <v>42</v>
      </c>
      <c r="E96" s="22" t="n">
        <f aca="false">F96+G96</f>
        <v>56196</v>
      </c>
      <c r="F96" s="22" t="n">
        <v>30000</v>
      </c>
      <c r="G96" s="22" t="n">
        <v>26196</v>
      </c>
      <c r="H96" s="21" t="str">
        <f aca="false">IF(G96&lt;=0,"Paid",IF(F96&gt;0,"Partial","Unpaid"))</f>
        <v>Partial</v>
      </c>
      <c r="I96" s="21" t="s">
        <v>147</v>
      </c>
      <c r="J96" s="13"/>
    </row>
    <row r="97" customFormat="false" ht="18.75" hidden="false" customHeight="true" outlineLevel="0" collapsed="false">
      <c r="A97" s="17" t="n">
        <v>93</v>
      </c>
      <c r="B97" s="18" t="s">
        <v>272</v>
      </c>
      <c r="C97" s="23" t="s">
        <v>271</v>
      </c>
      <c r="D97" s="9" t="s">
        <v>38</v>
      </c>
      <c r="E97" s="19" t="n">
        <f aca="false">F97+G97</f>
        <v>86076</v>
      </c>
      <c r="F97" s="19" t="n">
        <v>0</v>
      </c>
      <c r="G97" s="19" t="n">
        <v>86076</v>
      </c>
      <c r="H97" s="18" t="str">
        <f aca="false">IF(G97&lt;=0,"Paid",IF(F97&gt;0,"Partial","Unpaid"))</f>
        <v>Unpaid</v>
      </c>
      <c r="I97" s="18" t="s">
        <v>90</v>
      </c>
      <c r="J97" s="9"/>
    </row>
    <row r="98" customFormat="false" ht="18.75" hidden="false" customHeight="true" outlineLevel="0" collapsed="false">
      <c r="A98" s="20" t="n">
        <v>94</v>
      </c>
      <c r="B98" s="21" t="s">
        <v>273</v>
      </c>
      <c r="C98" s="24" t="s">
        <v>274</v>
      </c>
      <c r="D98" s="13" t="s">
        <v>42</v>
      </c>
      <c r="E98" s="22" t="n">
        <f aca="false">F98+G98</f>
        <v>18348</v>
      </c>
      <c r="F98" s="22" t="n">
        <v>0</v>
      </c>
      <c r="G98" s="22" t="n">
        <v>18348</v>
      </c>
      <c r="H98" s="21" t="str">
        <f aca="false">IF(G98&lt;=0,"Paid",IF(F98&gt;0,"Partial","Unpaid"))</f>
        <v>Unpaid</v>
      </c>
      <c r="I98" s="21" t="s">
        <v>90</v>
      </c>
      <c r="J98" s="13"/>
    </row>
    <row r="99" customFormat="false" ht="18.75" hidden="false" customHeight="true" outlineLevel="0" collapsed="false">
      <c r="A99" s="17" t="n">
        <v>95</v>
      </c>
      <c r="B99" s="18" t="s">
        <v>275</v>
      </c>
      <c r="C99" s="23" t="s">
        <v>274</v>
      </c>
      <c r="D99" s="9" t="s">
        <v>38</v>
      </c>
      <c r="E99" s="19" t="n">
        <f aca="false">F99+G99</f>
        <v>32850</v>
      </c>
      <c r="F99" s="19" t="n">
        <v>0</v>
      </c>
      <c r="G99" s="19" t="n">
        <v>32850</v>
      </c>
      <c r="H99" s="18" t="str">
        <f aca="false">IF(G99&lt;=0,"Paid",IF(F99&gt;0,"Partial","Unpaid"))</f>
        <v>Unpaid</v>
      </c>
      <c r="I99" s="18" t="s">
        <v>90</v>
      </c>
      <c r="J99" s="9"/>
    </row>
    <row r="100" customFormat="false" ht="18.75" hidden="false" customHeight="true" outlineLevel="0" collapsed="false">
      <c r="A100" s="20" t="n">
        <v>96</v>
      </c>
      <c r="B100" s="21" t="s">
        <v>276</v>
      </c>
      <c r="C100" s="24" t="s">
        <v>277</v>
      </c>
      <c r="D100" s="13" t="s">
        <v>46</v>
      </c>
      <c r="E100" s="22" t="n">
        <f aca="false">F100+G100</f>
        <v>14329.5</v>
      </c>
      <c r="F100" s="22" t="n">
        <v>0</v>
      </c>
      <c r="G100" s="22" t="n">
        <v>14329.5</v>
      </c>
      <c r="H100" s="21" t="str">
        <f aca="false">IF(G100&lt;=0,"Paid",IF(F100&gt;0,"Partial","Unpaid"))</f>
        <v>Unpaid</v>
      </c>
      <c r="I100" s="21" t="s">
        <v>90</v>
      </c>
      <c r="J100" s="13"/>
    </row>
    <row r="101" customFormat="false" ht="18.75" hidden="false" customHeight="true" outlineLevel="0" collapsed="false">
      <c r="A101" s="17" t="n">
        <v>97</v>
      </c>
      <c r="B101" s="18" t="s">
        <v>278</v>
      </c>
      <c r="C101" s="23" t="s">
        <v>277</v>
      </c>
      <c r="D101" s="9" t="s">
        <v>38</v>
      </c>
      <c r="E101" s="19" t="n">
        <f aca="false">F101+G101</f>
        <v>316064</v>
      </c>
      <c r="F101" s="19" t="n">
        <v>0</v>
      </c>
      <c r="G101" s="19" t="n">
        <v>316064</v>
      </c>
      <c r="H101" s="18" t="str">
        <f aca="false">IF(G101&lt;=0,"Paid",IF(F101&gt;0,"Partial","Unpaid"))</f>
        <v>Unpaid</v>
      </c>
      <c r="I101" s="18" t="s">
        <v>90</v>
      </c>
      <c r="J101" s="9"/>
    </row>
    <row r="102" customFormat="false" ht="18.75" hidden="false" customHeight="true" outlineLevel="0" collapsed="false">
      <c r="A102" s="20" t="n">
        <v>98</v>
      </c>
      <c r="B102" s="21" t="s">
        <v>279</v>
      </c>
      <c r="C102" s="24" t="s">
        <v>280</v>
      </c>
      <c r="D102" s="13" t="s">
        <v>281</v>
      </c>
      <c r="E102" s="22" t="n">
        <f aca="false">F102+G102</f>
        <v>82010</v>
      </c>
      <c r="F102" s="22" t="n">
        <v>0</v>
      </c>
      <c r="G102" s="22" t="n">
        <v>82010</v>
      </c>
      <c r="H102" s="21" t="str">
        <f aca="false">IF(G102&lt;=0,"Paid",IF(F102&gt;0,"Partial","Unpaid"))</f>
        <v>Unpaid</v>
      </c>
      <c r="I102" s="21" t="s">
        <v>90</v>
      </c>
      <c r="J102" s="13"/>
    </row>
    <row r="103" customFormat="false" ht="18.75" hidden="false" customHeight="true" outlineLevel="0" collapsed="false">
      <c r="A103" s="17" t="n">
        <v>99</v>
      </c>
      <c r="B103" s="18" t="s">
        <v>282</v>
      </c>
      <c r="C103" s="23" t="s">
        <v>283</v>
      </c>
      <c r="D103" s="9" t="s">
        <v>40</v>
      </c>
      <c r="E103" s="19" t="n">
        <f aca="false">F103+G103</f>
        <v>86064.5</v>
      </c>
      <c r="F103" s="19" t="n">
        <v>0</v>
      </c>
      <c r="G103" s="19" t="n">
        <v>86064.5</v>
      </c>
      <c r="H103" s="18" t="str">
        <f aca="false">IF(G103&lt;=0,"Paid",IF(F103&gt;0,"Partial","Unpaid"))</f>
        <v>Unpaid</v>
      </c>
      <c r="I103" s="18" t="s">
        <v>147</v>
      </c>
      <c r="J103" s="9"/>
    </row>
    <row r="104" customFormat="false" ht="18.75" hidden="false" customHeight="true" outlineLevel="0" collapsed="false">
      <c r="A104" s="20" t="n">
        <v>100</v>
      </c>
      <c r="B104" s="21" t="s">
        <v>284</v>
      </c>
      <c r="C104" s="24" t="s">
        <v>285</v>
      </c>
      <c r="D104" s="13" t="s">
        <v>38</v>
      </c>
      <c r="E104" s="22" t="n">
        <f aca="false">F104+G104</f>
        <v>64800</v>
      </c>
      <c r="F104" s="22" t="n">
        <v>0</v>
      </c>
      <c r="G104" s="22" t="n">
        <v>64800</v>
      </c>
      <c r="H104" s="21" t="str">
        <f aca="false">IF(G104&lt;=0,"Paid",IF(F104&gt;0,"Partial","Unpaid"))</f>
        <v>Unpaid</v>
      </c>
      <c r="I104" s="21" t="s">
        <v>147</v>
      </c>
      <c r="J104" s="13"/>
    </row>
    <row r="105" customFormat="false" ht="18.75" hidden="false" customHeight="true" outlineLevel="0" collapsed="false">
      <c r="A105" s="17" t="n">
        <v>101</v>
      </c>
      <c r="B105" s="18" t="s">
        <v>286</v>
      </c>
      <c r="C105" s="23" t="s">
        <v>287</v>
      </c>
      <c r="D105" s="9" t="s">
        <v>40</v>
      </c>
      <c r="E105" s="19" t="n">
        <f aca="false">F105+G105</f>
        <v>81545.63</v>
      </c>
      <c r="F105" s="19" t="n">
        <v>0</v>
      </c>
      <c r="G105" s="19" t="n">
        <v>81545.63</v>
      </c>
      <c r="H105" s="18" t="str">
        <f aca="false">IF(G105&lt;=0,"Paid",IF(F105&gt;0,"Partial","Unpaid"))</f>
        <v>Unpaid</v>
      </c>
      <c r="I105" s="18" t="s">
        <v>147</v>
      </c>
      <c r="J105" s="9"/>
    </row>
    <row r="106" customFormat="false" ht="18.75" hidden="false" customHeight="true" outlineLevel="0" collapsed="false">
      <c r="A106" s="20" t="n">
        <v>102</v>
      </c>
      <c r="B106" s="21" t="s">
        <v>288</v>
      </c>
      <c r="C106" s="24" t="s">
        <v>289</v>
      </c>
      <c r="D106" s="13" t="s">
        <v>56</v>
      </c>
      <c r="E106" s="22" t="n">
        <f aca="false">F106+G106</f>
        <v>21000</v>
      </c>
      <c r="F106" s="22" t="n">
        <v>0</v>
      </c>
      <c r="G106" s="22" t="n">
        <v>21000</v>
      </c>
      <c r="H106" s="21" t="str">
        <f aca="false">IF(G106&lt;=0,"Paid",IF(F106&gt;0,"Partial","Unpaid"))</f>
        <v>Unpaid</v>
      </c>
      <c r="I106" s="21" t="s">
        <v>147</v>
      </c>
      <c r="J106" s="13"/>
    </row>
    <row r="107" customFormat="false" ht="18.75" hidden="false" customHeight="true" outlineLevel="0" collapsed="false">
      <c r="A107" s="17" t="n">
        <v>103</v>
      </c>
      <c r="B107" s="18" t="s">
        <v>290</v>
      </c>
      <c r="C107" s="23" t="s">
        <v>291</v>
      </c>
      <c r="D107" s="9" t="s">
        <v>42</v>
      </c>
      <c r="E107" s="19" t="n">
        <f aca="false">F107+G107</f>
        <v>57396</v>
      </c>
      <c r="F107" s="19" t="n">
        <v>0</v>
      </c>
      <c r="G107" s="19" t="n">
        <v>57396</v>
      </c>
      <c r="H107" s="18" t="str">
        <f aca="false">IF(G107&lt;=0,"Paid",IF(F107&gt;0,"Partial","Unpaid"))</f>
        <v>Unpaid</v>
      </c>
      <c r="I107" s="18" t="s">
        <v>147</v>
      </c>
      <c r="J107" s="9"/>
    </row>
    <row r="108" customFormat="false" ht="18.75" hidden="false" customHeight="true" outlineLevel="0" collapsed="false">
      <c r="A108" s="20" t="n">
        <v>104</v>
      </c>
      <c r="B108" s="21" t="s">
        <v>292</v>
      </c>
      <c r="C108" s="24" t="s">
        <v>293</v>
      </c>
      <c r="D108" s="13" t="s">
        <v>46</v>
      </c>
      <c r="E108" s="22" t="n">
        <f aca="false">F108+G108</f>
        <v>80648</v>
      </c>
      <c r="F108" s="22" t="n">
        <v>0</v>
      </c>
      <c r="G108" s="22" t="n">
        <v>80648</v>
      </c>
      <c r="H108" s="21" t="str">
        <f aca="false">IF(G108&lt;=0,"Paid",IF(F108&gt;0,"Partial","Unpaid"))</f>
        <v>Unpaid</v>
      </c>
      <c r="I108" s="21" t="s">
        <v>147</v>
      </c>
      <c r="J108" s="13"/>
    </row>
    <row r="109" customFormat="false" ht="18.75" hidden="false" customHeight="true" outlineLevel="0" collapsed="false">
      <c r="A109" s="17" t="n">
        <v>105</v>
      </c>
      <c r="B109" s="18" t="s">
        <v>294</v>
      </c>
      <c r="C109" s="23" t="s">
        <v>293</v>
      </c>
      <c r="D109" s="9" t="s">
        <v>40</v>
      </c>
      <c r="E109" s="19" t="n">
        <f aca="false">F109+G109</f>
        <v>79612.31</v>
      </c>
      <c r="F109" s="19" t="n">
        <v>0</v>
      </c>
      <c r="G109" s="19" t="n">
        <v>79612.31</v>
      </c>
      <c r="H109" s="18" t="str">
        <f aca="false">IF(G109&lt;=0,"Paid",IF(F109&gt;0,"Partial","Unpaid"))</f>
        <v>Unpaid</v>
      </c>
      <c r="I109" s="18" t="s">
        <v>147</v>
      </c>
      <c r="J109" s="9"/>
    </row>
    <row r="110" customFormat="false" ht="18.75" hidden="false" customHeight="true" outlineLevel="0" collapsed="false">
      <c r="A110" s="20" t="n">
        <v>106</v>
      </c>
      <c r="B110" s="21" t="s">
        <v>295</v>
      </c>
      <c r="C110" s="24" t="s">
        <v>296</v>
      </c>
      <c r="D110" s="13" t="s">
        <v>38</v>
      </c>
      <c r="E110" s="22" t="n">
        <f aca="false">F110+G110</f>
        <v>163518</v>
      </c>
      <c r="F110" s="22" t="n">
        <v>0</v>
      </c>
      <c r="G110" s="22" t="n">
        <v>163518</v>
      </c>
      <c r="H110" s="21" t="str">
        <f aca="false">IF(G110&lt;=0,"Paid",IF(F110&gt;0,"Partial","Unpaid"))</f>
        <v>Unpaid</v>
      </c>
      <c r="I110" s="21" t="s">
        <v>147</v>
      </c>
      <c r="J110" s="13"/>
    </row>
    <row r="111" customFormat="false" ht="18.75" hidden="false" customHeight="true" outlineLevel="0" collapsed="false">
      <c r="A111" s="17" t="n">
        <v>107</v>
      </c>
      <c r="B111" s="18" t="s">
        <v>297</v>
      </c>
      <c r="C111" s="23" t="s">
        <v>296</v>
      </c>
      <c r="D111" s="9" t="s">
        <v>42</v>
      </c>
      <c r="E111" s="19" t="n">
        <f aca="false">F111+G111</f>
        <v>56268</v>
      </c>
      <c r="F111" s="19" t="n">
        <v>0</v>
      </c>
      <c r="G111" s="19" t="n">
        <v>56268</v>
      </c>
      <c r="H111" s="18" t="str">
        <f aca="false">IF(G111&lt;=0,"Paid",IF(F111&gt;0,"Partial","Unpaid"))</f>
        <v>Unpaid</v>
      </c>
      <c r="I111" s="18" t="s">
        <v>147</v>
      </c>
      <c r="J111" s="9"/>
    </row>
    <row r="112" customFormat="false" ht="18.75" hidden="false" customHeight="true" outlineLevel="0" collapsed="false">
      <c r="A112" s="20" t="n">
        <v>108</v>
      </c>
      <c r="B112" s="21" t="s">
        <v>298</v>
      </c>
      <c r="C112" s="24" t="s">
        <v>299</v>
      </c>
      <c r="D112" s="13" t="s">
        <v>38</v>
      </c>
      <c r="E112" s="22" t="n">
        <f aca="false">F112+G112</f>
        <v>106884</v>
      </c>
      <c r="F112" s="22" t="n">
        <v>0</v>
      </c>
      <c r="G112" s="22" t="n">
        <v>106884</v>
      </c>
      <c r="H112" s="21" t="str">
        <f aca="false">IF(G112&lt;=0,"Paid",IF(F112&gt;0,"Partial","Unpaid"))</f>
        <v>Unpaid</v>
      </c>
      <c r="I112" s="21" t="s">
        <v>147</v>
      </c>
      <c r="J112" s="13"/>
    </row>
    <row r="113" customFormat="false" ht="18.75" hidden="false" customHeight="true" outlineLevel="0" collapsed="false">
      <c r="A113" s="17" t="n">
        <v>109</v>
      </c>
      <c r="B113" s="18" t="s">
        <v>300</v>
      </c>
      <c r="C113" s="23" t="s">
        <v>301</v>
      </c>
      <c r="D113" s="9" t="s">
        <v>38</v>
      </c>
      <c r="E113" s="19" t="n">
        <f aca="false">F113+G113</f>
        <v>116535</v>
      </c>
      <c r="F113" s="19" t="n">
        <v>0</v>
      </c>
      <c r="G113" s="19" t="n">
        <v>116535</v>
      </c>
      <c r="H113" s="18" t="str">
        <f aca="false">IF(G113&lt;=0,"Paid",IF(F113&gt;0,"Partial","Unpaid"))</f>
        <v>Unpaid</v>
      </c>
      <c r="I113" s="18" t="s">
        <v>147</v>
      </c>
      <c r="J113" s="9"/>
    </row>
    <row r="114" customFormat="false" ht="18.75" hidden="false" customHeight="true" outlineLevel="0" collapsed="false">
      <c r="A114" s="20" t="n">
        <v>110</v>
      </c>
      <c r="B114" s="21" t="s">
        <v>302</v>
      </c>
      <c r="C114" s="24" t="s">
        <v>303</v>
      </c>
      <c r="D114" s="13" t="s">
        <v>42</v>
      </c>
      <c r="E114" s="22" t="n">
        <f aca="false">F114+G114</f>
        <v>31800</v>
      </c>
      <c r="F114" s="22" t="n">
        <v>0</v>
      </c>
      <c r="G114" s="22" t="n">
        <v>31800</v>
      </c>
      <c r="H114" s="21" t="str">
        <f aca="false">IF(G114&lt;=0,"Paid",IF(F114&gt;0,"Partial","Unpaid"))</f>
        <v>Unpaid</v>
      </c>
      <c r="I114" s="21" t="s">
        <v>147</v>
      </c>
      <c r="J114" s="13"/>
    </row>
    <row r="115" customFormat="false" ht="18.75" hidden="false" customHeight="true" outlineLevel="0" collapsed="false">
      <c r="A115" s="17" t="n">
        <v>111</v>
      </c>
      <c r="B115" s="18" t="s">
        <v>304</v>
      </c>
      <c r="C115" s="23" t="s">
        <v>305</v>
      </c>
      <c r="D115" s="9" t="s">
        <v>40</v>
      </c>
      <c r="E115" s="19" t="n">
        <f aca="false">F115+G115</f>
        <v>92566</v>
      </c>
      <c r="F115" s="19" t="n">
        <v>0</v>
      </c>
      <c r="G115" s="19" t="n">
        <v>92566</v>
      </c>
      <c r="H115" s="18" t="str">
        <f aca="false">IF(G115&lt;=0,"Paid",IF(F115&gt;0,"Partial","Unpaid"))</f>
        <v>Unpaid</v>
      </c>
      <c r="I115" s="18" t="s">
        <v>147</v>
      </c>
      <c r="J115" s="9"/>
    </row>
    <row r="116" customFormat="false" ht="18.75" hidden="false" customHeight="true" outlineLevel="0" collapsed="false">
      <c r="A116" s="20" t="n">
        <v>112</v>
      </c>
      <c r="B116" s="21" t="s">
        <v>306</v>
      </c>
      <c r="C116" s="24" t="s">
        <v>307</v>
      </c>
      <c r="D116" s="13" t="s">
        <v>308</v>
      </c>
      <c r="E116" s="22" t="n">
        <f aca="false">F116+G116</f>
        <v>10600</v>
      </c>
      <c r="F116" s="22" t="n">
        <v>0</v>
      </c>
      <c r="G116" s="22" t="n">
        <v>10600</v>
      </c>
      <c r="H116" s="21" t="str">
        <f aca="false">IF(G116&lt;=0,"Paid",IF(F116&gt;0,"Partial","Unpaid"))</f>
        <v>Unpaid</v>
      </c>
      <c r="I116" s="21" t="s">
        <v>147</v>
      </c>
      <c r="J116" s="13"/>
    </row>
    <row r="117" customFormat="false" ht="18.75" hidden="false" customHeight="true" outlineLevel="0" collapsed="false">
      <c r="A117" s="17" t="n">
        <v>113</v>
      </c>
      <c r="B117" s="18" t="s">
        <v>309</v>
      </c>
      <c r="C117" s="23" t="s">
        <v>310</v>
      </c>
      <c r="D117" s="9" t="s">
        <v>40</v>
      </c>
      <c r="E117" s="19" t="n">
        <f aca="false">F117+G117</f>
        <v>11720</v>
      </c>
      <c r="F117" s="19" t="n">
        <v>0</v>
      </c>
      <c r="G117" s="19" t="n">
        <v>11720</v>
      </c>
      <c r="H117" s="18" t="str">
        <f aca="false">IF(G117&lt;=0,"Paid",IF(F117&gt;0,"Partial","Unpaid"))</f>
        <v>Unpaid</v>
      </c>
      <c r="I117" s="18" t="s">
        <v>147</v>
      </c>
      <c r="J117" s="9"/>
    </row>
    <row r="118" customFormat="false" ht="18.75" hidden="false" customHeight="true" outlineLevel="0" collapsed="false">
      <c r="A118" s="20" t="n">
        <v>114</v>
      </c>
      <c r="B118" s="21" t="s">
        <v>311</v>
      </c>
      <c r="C118" s="24" t="s">
        <v>310</v>
      </c>
      <c r="D118" s="13" t="s">
        <v>42</v>
      </c>
      <c r="E118" s="22" t="n">
        <f aca="false">F118+G118</f>
        <v>111112</v>
      </c>
      <c r="F118" s="22" t="n">
        <v>0</v>
      </c>
      <c r="G118" s="22" t="n">
        <v>111112</v>
      </c>
      <c r="H118" s="21" t="str">
        <f aca="false">IF(G118&lt;=0,"Paid",IF(F118&gt;0,"Partial","Unpaid"))</f>
        <v>Unpaid</v>
      </c>
      <c r="I118" s="21" t="s">
        <v>147</v>
      </c>
      <c r="J118" s="13"/>
    </row>
    <row r="119" customFormat="false" ht="18.75" hidden="false" customHeight="true" outlineLevel="0" collapsed="false">
      <c r="A119" s="17" t="n">
        <v>115</v>
      </c>
      <c r="B119" s="18" t="s">
        <v>312</v>
      </c>
      <c r="C119" s="23" t="s">
        <v>313</v>
      </c>
      <c r="D119" s="9" t="s">
        <v>38</v>
      </c>
      <c r="E119" s="19" t="n">
        <f aca="false">F119+G119</f>
        <v>217896</v>
      </c>
      <c r="F119" s="19" t="n">
        <v>0</v>
      </c>
      <c r="G119" s="19" t="n">
        <v>217896</v>
      </c>
      <c r="H119" s="18" t="str">
        <f aca="false">IF(G119&lt;=0,"Paid",IF(F119&gt;0,"Partial","Unpaid"))</f>
        <v>Unpaid</v>
      </c>
      <c r="I119" s="18" t="s">
        <v>147</v>
      </c>
      <c r="J119" s="9"/>
    </row>
    <row r="120" customFormat="false" ht="18.75" hidden="false" customHeight="true" outlineLevel="0" collapsed="false">
      <c r="A120" s="20" t="n">
        <v>116</v>
      </c>
      <c r="B120" s="21" t="s">
        <v>314</v>
      </c>
      <c r="C120" s="24" t="s">
        <v>315</v>
      </c>
      <c r="D120" s="13" t="s">
        <v>38</v>
      </c>
      <c r="E120" s="22" t="n">
        <f aca="false">F120+G120</f>
        <v>207216.5</v>
      </c>
      <c r="F120" s="22" t="n">
        <v>0</v>
      </c>
      <c r="G120" s="22" t="n">
        <v>207216.5</v>
      </c>
      <c r="H120" s="21" t="str">
        <f aca="false">IF(G120&lt;=0,"Paid",IF(F120&gt;0,"Partial","Unpaid"))</f>
        <v>Unpaid</v>
      </c>
      <c r="I120" s="21" t="s">
        <v>147</v>
      </c>
      <c r="J120" s="13"/>
    </row>
    <row r="121" customFormat="false" ht="18.75" hidden="false" customHeight="true" outlineLevel="0" collapsed="false">
      <c r="A121" s="17" t="n">
        <v>117</v>
      </c>
      <c r="B121" s="18" t="s">
        <v>316</v>
      </c>
      <c r="C121" s="23" t="s">
        <v>317</v>
      </c>
      <c r="D121" s="9" t="s">
        <v>38</v>
      </c>
      <c r="E121" s="19" t="n">
        <f aca="false">F121+G121</f>
        <v>183335</v>
      </c>
      <c r="F121" s="19" t="n">
        <v>0</v>
      </c>
      <c r="G121" s="19" t="n">
        <v>183335</v>
      </c>
      <c r="H121" s="18" t="str">
        <f aca="false">IF(G121&lt;=0,"Paid",IF(F121&gt;0,"Partial","Unpaid"))</f>
        <v>Unpaid</v>
      </c>
      <c r="I121" s="18" t="s">
        <v>147</v>
      </c>
      <c r="J121" s="9"/>
    </row>
    <row r="122" customFormat="false" ht="18.75" hidden="false" customHeight="true" outlineLevel="0" collapsed="false">
      <c r="A122" s="20" t="n">
        <v>118</v>
      </c>
      <c r="B122" s="21" t="s">
        <v>318</v>
      </c>
      <c r="C122" s="24" t="s">
        <v>317</v>
      </c>
      <c r="D122" s="13" t="s">
        <v>38</v>
      </c>
      <c r="E122" s="22" t="n">
        <f aca="false">F122+G122</f>
        <v>52000</v>
      </c>
      <c r="F122" s="22" t="n">
        <v>0</v>
      </c>
      <c r="G122" s="22" t="n">
        <v>52000</v>
      </c>
      <c r="H122" s="21" t="str">
        <f aca="false">IF(G122&lt;=0,"Paid",IF(F122&gt;0,"Partial","Unpaid"))</f>
        <v>Unpaid</v>
      </c>
      <c r="I122" s="21" t="s">
        <v>147</v>
      </c>
      <c r="J122" s="13"/>
    </row>
    <row r="123" customFormat="false" ht="18.75" hidden="false" customHeight="true" outlineLevel="0" collapsed="false">
      <c r="A123" s="17" t="n">
        <v>119</v>
      </c>
      <c r="B123" s="18" t="s">
        <v>319</v>
      </c>
      <c r="C123" s="23" t="s">
        <v>320</v>
      </c>
      <c r="D123" s="9" t="s">
        <v>42</v>
      </c>
      <c r="E123" s="19" t="n">
        <f aca="false">F123+G123</f>
        <v>60500</v>
      </c>
      <c r="F123" s="19" t="n">
        <v>0</v>
      </c>
      <c r="G123" s="19" t="n">
        <v>60500</v>
      </c>
      <c r="H123" s="18" t="str">
        <f aca="false">IF(G123&lt;=0,"Paid",IF(F123&gt;0,"Partial","Unpaid"))</f>
        <v>Unpaid</v>
      </c>
      <c r="I123" s="18" t="s">
        <v>147</v>
      </c>
      <c r="J123" s="9"/>
    </row>
    <row r="124" customFormat="false" ht="18.75" hidden="false" customHeight="true" outlineLevel="0" collapsed="false">
      <c r="A124" s="20" t="n">
        <v>120</v>
      </c>
      <c r="B124" s="21" t="s">
        <v>321</v>
      </c>
      <c r="C124" s="24" t="s">
        <v>320</v>
      </c>
      <c r="D124" s="13" t="s">
        <v>38</v>
      </c>
      <c r="E124" s="22" t="n">
        <f aca="false">F124+G124</f>
        <v>97359.38</v>
      </c>
      <c r="F124" s="22" t="n">
        <v>0</v>
      </c>
      <c r="G124" s="22" t="n">
        <v>97359.38</v>
      </c>
      <c r="H124" s="21" t="str">
        <f aca="false">IF(G124&lt;=0,"Paid",IF(F124&gt;0,"Partial","Unpaid"))</f>
        <v>Unpaid</v>
      </c>
      <c r="I124" s="21" t="s">
        <v>147</v>
      </c>
      <c r="J124" s="13"/>
    </row>
    <row r="125" customFormat="false" ht="18.75" hidden="false" customHeight="true" outlineLevel="0" collapsed="false">
      <c r="A125" s="17" t="n">
        <v>121</v>
      </c>
      <c r="B125" s="18" t="s">
        <v>322</v>
      </c>
      <c r="C125" s="23" t="s">
        <v>323</v>
      </c>
      <c r="D125" s="9" t="s">
        <v>38</v>
      </c>
      <c r="E125" s="19" t="n">
        <f aca="false">F125+G125</f>
        <v>501311</v>
      </c>
      <c r="F125" s="19" t="n">
        <v>0</v>
      </c>
      <c r="G125" s="19" t="n">
        <v>501311</v>
      </c>
      <c r="H125" s="18" t="str">
        <f aca="false">IF(G125&lt;=0,"Paid",IF(F125&gt;0,"Partial","Unpaid"))</f>
        <v>Unpaid</v>
      </c>
      <c r="I125" s="18" t="s">
        <v>147</v>
      </c>
      <c r="J125" s="9"/>
    </row>
    <row r="126" customFormat="false" ht="18.75" hidden="false" customHeight="true" outlineLevel="0" collapsed="false">
      <c r="A126" s="20" t="n">
        <v>122</v>
      </c>
      <c r="B126" s="21" t="s">
        <v>324</v>
      </c>
      <c r="C126" s="24" t="s">
        <v>325</v>
      </c>
      <c r="D126" s="13" t="s">
        <v>46</v>
      </c>
      <c r="E126" s="22" t="n">
        <f aca="false">F126+G126</f>
        <v>58144</v>
      </c>
      <c r="F126" s="22" t="n">
        <v>0</v>
      </c>
      <c r="G126" s="22" t="n">
        <v>58144</v>
      </c>
      <c r="H126" s="21" t="str">
        <f aca="false">IF(G126&lt;=0,"Paid",IF(F126&gt;0,"Partial","Unpaid"))</f>
        <v>Unpaid</v>
      </c>
      <c r="I126" s="21" t="s">
        <v>147</v>
      </c>
      <c r="J126" s="13"/>
    </row>
    <row r="127" customFormat="false" ht="18.75" hidden="false" customHeight="true" outlineLevel="0" collapsed="false">
      <c r="A127" s="17" t="n">
        <v>123</v>
      </c>
      <c r="B127" s="18" t="s">
        <v>326</v>
      </c>
      <c r="C127" s="23" t="s">
        <v>327</v>
      </c>
      <c r="D127" s="9" t="s">
        <v>42</v>
      </c>
      <c r="E127" s="19" t="n">
        <f aca="false">F127+G127</f>
        <v>42197</v>
      </c>
      <c r="F127" s="19" t="n">
        <v>0</v>
      </c>
      <c r="G127" s="19" t="n">
        <v>42197</v>
      </c>
      <c r="H127" s="18" t="str">
        <f aca="false">IF(G127&lt;=0,"Paid",IF(F127&gt;0,"Partial","Unpaid"))</f>
        <v>Unpaid</v>
      </c>
      <c r="I127" s="18" t="s">
        <v>147</v>
      </c>
      <c r="J127" s="9"/>
    </row>
    <row r="128" customFormat="false" ht="18.75" hidden="false" customHeight="true" outlineLevel="0" collapsed="false">
      <c r="A128" s="20" t="n">
        <v>124</v>
      </c>
      <c r="B128" s="21" t="s">
        <v>328</v>
      </c>
      <c r="C128" s="24" t="s">
        <v>329</v>
      </c>
      <c r="D128" s="13" t="s">
        <v>38</v>
      </c>
      <c r="E128" s="22" t="n">
        <f aca="false">F128+G128</f>
        <v>113788</v>
      </c>
      <c r="F128" s="22" t="n">
        <v>0</v>
      </c>
      <c r="G128" s="22" t="n">
        <v>113788</v>
      </c>
      <c r="H128" s="21" t="str">
        <f aca="false">IF(G128&lt;=0,"Paid",IF(F128&gt;0,"Partial","Unpaid"))</f>
        <v>Unpaid</v>
      </c>
      <c r="I128" s="21" t="s">
        <v>147</v>
      </c>
      <c r="J128" s="13"/>
    </row>
    <row r="129" customFormat="false" ht="18.75" hidden="false" customHeight="true" outlineLevel="0" collapsed="false">
      <c r="A129" s="17" t="n">
        <v>125</v>
      </c>
      <c r="B129" s="18" t="s">
        <v>330</v>
      </c>
      <c r="C129" s="23" t="s">
        <v>331</v>
      </c>
      <c r="D129" s="9" t="s">
        <v>38</v>
      </c>
      <c r="E129" s="19" t="n">
        <f aca="false">F129+G129</f>
        <v>189672</v>
      </c>
      <c r="F129" s="19" t="n">
        <v>0</v>
      </c>
      <c r="G129" s="19" t="n">
        <v>189672</v>
      </c>
      <c r="H129" s="18" t="str">
        <f aca="false">IF(G129&lt;=0,"Paid",IF(F129&gt;0,"Partial","Unpaid"))</f>
        <v>Unpaid</v>
      </c>
      <c r="I129" s="18" t="s">
        <v>147</v>
      </c>
      <c r="J129" s="9"/>
    </row>
    <row r="130" customFormat="false" ht="18.75" hidden="false" customHeight="true" outlineLevel="0" collapsed="false">
      <c r="A130" s="20" t="n">
        <v>126</v>
      </c>
      <c r="B130" s="21" t="s">
        <v>332</v>
      </c>
      <c r="C130" s="24" t="s">
        <v>333</v>
      </c>
      <c r="D130" s="13" t="s">
        <v>42</v>
      </c>
      <c r="E130" s="22" t="n">
        <f aca="false">F130+G130</f>
        <v>50000</v>
      </c>
      <c r="F130" s="22" t="n">
        <v>0</v>
      </c>
      <c r="G130" s="22" t="n">
        <v>50000</v>
      </c>
      <c r="H130" s="21" t="str">
        <f aca="false">IF(G130&lt;=0,"Paid",IF(F130&gt;0,"Partial","Unpaid"))</f>
        <v>Unpaid</v>
      </c>
      <c r="I130" s="21" t="s">
        <v>147</v>
      </c>
      <c r="J130" s="13"/>
    </row>
    <row r="131" customFormat="false" ht="18.75" hidden="false" customHeight="true" outlineLevel="0" collapsed="false">
      <c r="A131" s="17" t="n">
        <v>127</v>
      </c>
      <c r="B131" s="18" t="s">
        <v>334</v>
      </c>
      <c r="C131" s="23" t="s">
        <v>335</v>
      </c>
      <c r="D131" s="9" t="s">
        <v>38</v>
      </c>
      <c r="E131" s="19" t="n">
        <f aca="false">F131+G131</f>
        <v>87368</v>
      </c>
      <c r="F131" s="19" t="n">
        <v>0</v>
      </c>
      <c r="G131" s="19" t="n">
        <v>87368</v>
      </c>
      <c r="H131" s="18" t="str">
        <f aca="false">IF(G131&lt;=0,"Paid",IF(F131&gt;0,"Partial","Unpaid"))</f>
        <v>Unpaid</v>
      </c>
      <c r="I131" s="18" t="s">
        <v>147</v>
      </c>
      <c r="J131" s="9"/>
    </row>
    <row r="132" customFormat="false" ht="18.75" hidden="false" customHeight="true" outlineLevel="0" collapsed="false">
      <c r="A132" s="20" t="n">
        <v>128</v>
      </c>
      <c r="B132" s="21" t="s">
        <v>336</v>
      </c>
      <c r="C132" s="24" t="s">
        <v>337</v>
      </c>
      <c r="D132" s="13" t="s">
        <v>40</v>
      </c>
      <c r="E132" s="22" t="n">
        <f aca="false">F132+G132</f>
        <v>90716.25</v>
      </c>
      <c r="F132" s="22" t="n">
        <v>0</v>
      </c>
      <c r="G132" s="22" t="n">
        <v>90716.25</v>
      </c>
      <c r="H132" s="21" t="str">
        <f aca="false">IF(G132&lt;=0,"Paid",IF(F132&gt;0,"Partial","Unpaid"))</f>
        <v>Unpaid</v>
      </c>
      <c r="I132" s="21" t="s">
        <v>147</v>
      </c>
      <c r="J132" s="13"/>
    </row>
    <row r="133" customFormat="false" ht="18.75" hidden="false" customHeight="true" outlineLevel="0" collapsed="false">
      <c r="A133" s="17" t="n">
        <v>129</v>
      </c>
      <c r="B133" s="18" t="s">
        <v>338</v>
      </c>
      <c r="C133" s="23" t="s">
        <v>339</v>
      </c>
      <c r="D133" s="9" t="s">
        <v>46</v>
      </c>
      <c r="E133" s="19" t="n">
        <f aca="false">F133+G133</f>
        <v>57577.81</v>
      </c>
      <c r="F133" s="19" t="n">
        <v>0</v>
      </c>
      <c r="G133" s="19" t="n">
        <v>57577.81</v>
      </c>
      <c r="H133" s="18" t="str">
        <f aca="false">IF(G133&lt;=0,"Paid",IF(F133&gt;0,"Partial","Unpaid"))</f>
        <v>Unpaid</v>
      </c>
      <c r="I133" s="18" t="s">
        <v>147</v>
      </c>
      <c r="J133" s="9"/>
    </row>
    <row r="134" customFormat="false" ht="18.75" hidden="false" customHeight="true" outlineLevel="0" collapsed="false">
      <c r="A134" s="20" t="n">
        <v>130</v>
      </c>
      <c r="B134" s="21" t="s">
        <v>340</v>
      </c>
      <c r="C134" s="24" t="s">
        <v>341</v>
      </c>
      <c r="D134" s="13" t="s">
        <v>42</v>
      </c>
      <c r="E134" s="22" t="n">
        <f aca="false">F134+G134</f>
        <v>57000</v>
      </c>
      <c r="F134" s="22" t="n">
        <v>0</v>
      </c>
      <c r="G134" s="22" t="n">
        <v>57000</v>
      </c>
      <c r="H134" s="21" t="str">
        <f aca="false">IF(G134&lt;=0,"Paid",IF(F134&gt;0,"Partial","Unpaid"))</f>
        <v>Unpaid</v>
      </c>
      <c r="I134" s="21" t="s">
        <v>147</v>
      </c>
      <c r="J134" s="13"/>
    </row>
    <row r="135" customFormat="false" ht="18.75" hidden="false" customHeight="true" outlineLevel="0" collapsed="false">
      <c r="A135" s="17" t="n">
        <v>131</v>
      </c>
      <c r="B135" s="18" t="s">
        <v>342</v>
      </c>
      <c r="C135" s="23" t="s">
        <v>341</v>
      </c>
      <c r="D135" s="9" t="s">
        <v>38</v>
      </c>
      <c r="E135" s="19" t="n">
        <f aca="false">F135+G135</f>
        <v>124755</v>
      </c>
      <c r="F135" s="19" t="n">
        <v>0</v>
      </c>
      <c r="G135" s="19" t="n">
        <v>124755</v>
      </c>
      <c r="H135" s="18" t="str">
        <f aca="false">IF(G135&lt;=0,"Paid",IF(F135&gt;0,"Partial","Unpaid"))</f>
        <v>Unpaid</v>
      </c>
      <c r="I135" s="18" t="s">
        <v>147</v>
      </c>
      <c r="J135" s="9"/>
    </row>
    <row r="136" customFormat="false" ht="18.75" hidden="false" customHeight="true" outlineLevel="0" collapsed="false">
      <c r="A136" s="20" t="n">
        <v>132</v>
      </c>
      <c r="B136" s="21" t="s">
        <v>343</v>
      </c>
      <c r="C136" s="24" t="s">
        <v>344</v>
      </c>
      <c r="D136" s="13" t="s">
        <v>38</v>
      </c>
      <c r="E136" s="22" t="n">
        <f aca="false">F136+G136</f>
        <v>101395</v>
      </c>
      <c r="F136" s="22" t="n">
        <v>0</v>
      </c>
      <c r="G136" s="22" t="n">
        <v>101395</v>
      </c>
      <c r="H136" s="21" t="str">
        <f aca="false">IF(G136&lt;=0,"Paid",IF(F136&gt;0,"Partial","Unpaid"))</f>
        <v>Unpaid</v>
      </c>
      <c r="I136" s="21" t="s">
        <v>147</v>
      </c>
      <c r="J136" s="13"/>
    </row>
    <row r="137" customFormat="false" ht="18.75" hidden="false" customHeight="true" outlineLevel="0" collapsed="false">
      <c r="A137" s="17" t="n">
        <v>133</v>
      </c>
      <c r="B137" s="18" t="s">
        <v>345</v>
      </c>
      <c r="C137" s="23" t="s">
        <v>346</v>
      </c>
      <c r="D137" s="9" t="s">
        <v>42</v>
      </c>
      <c r="E137" s="19" t="n">
        <f aca="false">F137+G137</f>
        <v>36100</v>
      </c>
      <c r="F137" s="19" t="n">
        <v>0</v>
      </c>
      <c r="G137" s="19" t="n">
        <v>36100</v>
      </c>
      <c r="H137" s="18" t="str">
        <f aca="false">IF(G137&lt;=0,"Paid",IF(F137&gt;0,"Partial","Unpaid"))</f>
        <v>Unpaid</v>
      </c>
      <c r="I137" s="18" t="s">
        <v>147</v>
      </c>
      <c r="J137" s="9"/>
    </row>
    <row r="138" customFormat="false" ht="18.75" hidden="false" customHeight="true" outlineLevel="0" collapsed="false">
      <c r="A138" s="20" t="n">
        <v>134</v>
      </c>
      <c r="B138" s="21" t="s">
        <v>347</v>
      </c>
      <c r="C138" s="24" t="s">
        <v>348</v>
      </c>
      <c r="D138" s="13" t="s">
        <v>38</v>
      </c>
      <c r="E138" s="22" t="n">
        <f aca="false">F138+G138</f>
        <v>89464</v>
      </c>
      <c r="F138" s="22" t="n">
        <v>0</v>
      </c>
      <c r="G138" s="22" t="n">
        <v>89464</v>
      </c>
      <c r="H138" s="21" t="str">
        <f aca="false">IF(G138&lt;=0,"Paid",IF(F138&gt;0,"Partial","Unpaid"))</f>
        <v>Unpaid</v>
      </c>
      <c r="I138" s="21" t="s">
        <v>147</v>
      </c>
      <c r="J138" s="13"/>
    </row>
    <row r="139" customFormat="false" ht="18.75" hidden="false" customHeight="true" outlineLevel="0" collapsed="false">
      <c r="A139" s="17" t="n">
        <v>135</v>
      </c>
      <c r="B139" s="18" t="s">
        <v>349</v>
      </c>
      <c r="C139" s="23" t="s">
        <v>350</v>
      </c>
      <c r="D139" s="9" t="s">
        <v>38</v>
      </c>
      <c r="E139" s="19" t="n">
        <f aca="false">F139+G139</f>
        <v>34897.5</v>
      </c>
      <c r="F139" s="19" t="n">
        <v>0</v>
      </c>
      <c r="G139" s="19" t="n">
        <v>34897.5</v>
      </c>
      <c r="H139" s="18" t="str">
        <f aca="false">IF(G139&lt;=0,"Paid",IF(F139&gt;0,"Partial","Unpaid"))</f>
        <v>Unpaid</v>
      </c>
      <c r="I139" s="18" t="s">
        <v>147</v>
      </c>
      <c r="J139" s="9"/>
    </row>
    <row r="140" customFormat="false" ht="18.75" hidden="false" customHeight="true" outlineLevel="0" collapsed="false">
      <c r="A140" s="20" t="n">
        <v>136</v>
      </c>
      <c r="B140" s="21" t="s">
        <v>351</v>
      </c>
      <c r="C140" s="24" t="s">
        <v>350</v>
      </c>
      <c r="D140" s="13" t="s">
        <v>42</v>
      </c>
      <c r="E140" s="22" t="n">
        <f aca="false">F140+G140</f>
        <v>62500</v>
      </c>
      <c r="F140" s="22" t="n">
        <v>62500</v>
      </c>
      <c r="G140" s="22" t="n">
        <v>0</v>
      </c>
      <c r="H140" s="21" t="str">
        <f aca="false">IF(G140&lt;=0,"Paid",IF(F140&gt;0,"Partial","Unpaid"))</f>
        <v>Paid</v>
      </c>
      <c r="I140" s="21" t="s">
        <v>147</v>
      </c>
      <c r="J140" s="13"/>
    </row>
    <row r="141" customFormat="false" ht="18.75" hidden="false" customHeight="true" outlineLevel="0" collapsed="false">
      <c r="A141" s="17" t="n">
        <v>137</v>
      </c>
      <c r="B141" s="18" t="s">
        <v>352</v>
      </c>
      <c r="C141" s="23" t="s">
        <v>353</v>
      </c>
      <c r="D141" s="9" t="s">
        <v>354</v>
      </c>
      <c r="E141" s="19" t="n">
        <f aca="false">F141+G141</f>
        <v>36000</v>
      </c>
      <c r="F141" s="19" t="n">
        <v>0</v>
      </c>
      <c r="G141" s="19" t="n">
        <v>36000</v>
      </c>
      <c r="H141" s="18" t="str">
        <f aca="false">IF(G141&lt;=0,"Paid",IF(F141&gt;0,"Partial","Unpaid"))</f>
        <v>Unpaid</v>
      </c>
      <c r="I141" s="18" t="s">
        <v>147</v>
      </c>
      <c r="J141" s="9"/>
    </row>
    <row r="142" customFormat="false" ht="18.75" hidden="false" customHeight="true" outlineLevel="0" collapsed="false">
      <c r="A142" s="20" t="n">
        <v>138</v>
      </c>
      <c r="B142" s="21" t="s">
        <v>355</v>
      </c>
      <c r="C142" s="24" t="s">
        <v>356</v>
      </c>
      <c r="D142" s="13" t="s">
        <v>42</v>
      </c>
      <c r="E142" s="22" t="n">
        <f aca="false">F142+G142</f>
        <v>34500</v>
      </c>
      <c r="F142" s="22" t="n">
        <v>0</v>
      </c>
      <c r="G142" s="22" t="n">
        <v>34500</v>
      </c>
      <c r="H142" s="21" t="str">
        <f aca="false">IF(G142&lt;=0,"Paid",IF(F142&gt;0,"Partial","Unpaid"))</f>
        <v>Unpaid</v>
      </c>
      <c r="I142" s="21" t="s">
        <v>147</v>
      </c>
      <c r="J142" s="13"/>
    </row>
    <row r="143" customFormat="false" ht="18.75" hidden="false" customHeight="true" outlineLevel="0" collapsed="false">
      <c r="A143" s="17" t="n">
        <v>139</v>
      </c>
      <c r="B143" s="18" t="s">
        <v>357</v>
      </c>
      <c r="C143" s="23" t="s">
        <v>358</v>
      </c>
      <c r="D143" s="9" t="s">
        <v>38</v>
      </c>
      <c r="E143" s="19" t="n">
        <f aca="false">F143+G143</f>
        <v>66000</v>
      </c>
      <c r="F143" s="19" t="n">
        <v>0</v>
      </c>
      <c r="G143" s="19" t="n">
        <v>66000</v>
      </c>
      <c r="H143" s="18" t="str">
        <f aca="false">IF(G143&lt;=0,"Paid",IF(F143&gt;0,"Partial","Unpaid"))</f>
        <v>Unpaid</v>
      </c>
      <c r="I143" s="18" t="s">
        <v>147</v>
      </c>
      <c r="J143" s="9"/>
    </row>
    <row r="144" customFormat="false" ht="18.75" hidden="false" customHeight="true" outlineLevel="0" collapsed="false">
      <c r="A144" s="20" t="n">
        <v>140</v>
      </c>
      <c r="B144" s="21" t="s">
        <v>359</v>
      </c>
      <c r="C144" s="24" t="s">
        <v>360</v>
      </c>
      <c r="D144" s="13" t="s">
        <v>38</v>
      </c>
      <c r="E144" s="22" t="n">
        <f aca="false">F144+G144</f>
        <v>182433.63</v>
      </c>
      <c r="F144" s="22" t="n">
        <v>0</v>
      </c>
      <c r="G144" s="22" t="n">
        <v>182433.63</v>
      </c>
      <c r="H144" s="21" t="str">
        <f aca="false">IF(G144&lt;=0,"Paid",IF(F144&gt;0,"Partial","Unpaid"))</f>
        <v>Unpaid</v>
      </c>
      <c r="I144" s="21" t="s">
        <v>147</v>
      </c>
      <c r="J144" s="13"/>
    </row>
    <row r="145" customFormat="false" ht="18.75" hidden="false" customHeight="true" outlineLevel="0" collapsed="false">
      <c r="A145" s="17" t="n">
        <v>141</v>
      </c>
      <c r="B145" s="18" t="s">
        <v>361</v>
      </c>
      <c r="C145" s="23" t="s">
        <v>362</v>
      </c>
      <c r="D145" s="9" t="s">
        <v>42</v>
      </c>
      <c r="E145" s="19" t="n">
        <f aca="false">F145+G145</f>
        <v>65366.88</v>
      </c>
      <c r="F145" s="19" t="n">
        <v>0</v>
      </c>
      <c r="G145" s="19" t="n">
        <v>65366.88</v>
      </c>
      <c r="H145" s="18" t="str">
        <f aca="false">IF(G145&lt;=0,"Paid",IF(F145&gt;0,"Partial","Unpaid"))</f>
        <v>Unpaid</v>
      </c>
      <c r="I145" s="18" t="s">
        <v>147</v>
      </c>
      <c r="J145" s="9"/>
    </row>
    <row r="146" customFormat="false" ht="18.75" hidden="false" customHeight="true" outlineLevel="0" collapsed="false">
      <c r="A146" s="20" t="n">
        <v>142</v>
      </c>
      <c r="B146" s="21" t="s">
        <v>363</v>
      </c>
      <c r="C146" s="24" t="s">
        <v>364</v>
      </c>
      <c r="D146" s="13" t="s">
        <v>38</v>
      </c>
      <c r="E146" s="22" t="n">
        <f aca="false">F146+G146</f>
        <v>141284.75</v>
      </c>
      <c r="F146" s="22" t="n">
        <v>0</v>
      </c>
      <c r="G146" s="22" t="n">
        <v>141284.75</v>
      </c>
      <c r="H146" s="21" t="str">
        <f aca="false">IF(G146&lt;=0,"Paid",IF(F146&gt;0,"Partial","Unpaid"))</f>
        <v>Unpaid</v>
      </c>
      <c r="I146" s="21" t="s">
        <v>147</v>
      </c>
      <c r="J146" s="13"/>
    </row>
    <row r="147" customFormat="false" ht="18.75" hidden="false" customHeight="true" outlineLevel="0" collapsed="false">
      <c r="A147" s="17" t="n">
        <v>143</v>
      </c>
      <c r="B147" s="18" t="s">
        <v>365</v>
      </c>
      <c r="C147" s="23" t="s">
        <v>366</v>
      </c>
      <c r="D147" s="9" t="s">
        <v>38</v>
      </c>
      <c r="E147" s="19" t="n">
        <f aca="false">F147+G147</f>
        <v>101073.56</v>
      </c>
      <c r="F147" s="19" t="n">
        <v>0</v>
      </c>
      <c r="G147" s="19" t="n">
        <v>101073.56</v>
      </c>
      <c r="H147" s="18" t="str">
        <f aca="false">IF(G147&lt;=0,"Paid",IF(F147&gt;0,"Partial","Unpaid"))</f>
        <v>Unpaid</v>
      </c>
      <c r="I147" s="18" t="s">
        <v>147</v>
      </c>
      <c r="J147" s="9"/>
    </row>
    <row r="148" customFormat="false" ht="18.75" hidden="false" customHeight="true" outlineLevel="0" collapsed="false">
      <c r="A148" s="20" t="n">
        <v>144</v>
      </c>
      <c r="B148" s="21" t="s">
        <v>367</v>
      </c>
      <c r="C148" s="24" t="s">
        <v>368</v>
      </c>
      <c r="D148" s="13" t="s">
        <v>38</v>
      </c>
      <c r="E148" s="22" t="n">
        <f aca="false">F148+G148</f>
        <v>137695.81</v>
      </c>
      <c r="F148" s="22" t="n">
        <v>0</v>
      </c>
      <c r="G148" s="22" t="n">
        <v>137695.81</v>
      </c>
      <c r="H148" s="21" t="str">
        <f aca="false">IF(G148&lt;=0,"Paid",IF(F148&gt;0,"Partial","Unpaid"))</f>
        <v>Unpaid</v>
      </c>
      <c r="I148" s="21" t="s">
        <v>147</v>
      </c>
      <c r="J148" s="13"/>
    </row>
    <row r="149" customFormat="false" ht="18.75" hidden="false" customHeight="true" outlineLevel="0" collapsed="false">
      <c r="A149" s="17" t="n">
        <v>145</v>
      </c>
      <c r="B149" s="18" t="s">
        <v>369</v>
      </c>
      <c r="C149" s="23" t="s">
        <v>370</v>
      </c>
      <c r="D149" s="9" t="s">
        <v>38</v>
      </c>
      <c r="E149" s="19" t="n">
        <f aca="false">F149+G149</f>
        <v>95990</v>
      </c>
      <c r="F149" s="19" t="n">
        <v>0</v>
      </c>
      <c r="G149" s="19" t="n">
        <v>95990</v>
      </c>
      <c r="H149" s="18" t="str">
        <f aca="false">IF(G149&lt;=0,"Paid",IF(F149&gt;0,"Partial","Unpaid"))</f>
        <v>Unpaid</v>
      </c>
      <c r="I149" s="18" t="s">
        <v>147</v>
      </c>
      <c r="J149" s="9"/>
    </row>
    <row r="150" customFormat="false" ht="18.75" hidden="false" customHeight="true" outlineLevel="0" collapsed="false">
      <c r="A150" s="20" t="n">
        <v>146</v>
      </c>
      <c r="B150" s="21" t="s">
        <v>371</v>
      </c>
      <c r="C150" s="24" t="s">
        <v>372</v>
      </c>
      <c r="D150" s="13" t="s">
        <v>42</v>
      </c>
      <c r="E150" s="22" t="n">
        <f aca="false">F150+G150</f>
        <v>75152</v>
      </c>
      <c r="F150" s="22" t="n">
        <v>0</v>
      </c>
      <c r="G150" s="22" t="n">
        <v>75152</v>
      </c>
      <c r="H150" s="21" t="str">
        <f aca="false">IF(G150&lt;=0,"Paid",IF(F150&gt;0,"Partial","Unpaid"))</f>
        <v>Unpaid</v>
      </c>
      <c r="I150" s="21" t="s">
        <v>147</v>
      </c>
      <c r="J150" s="13"/>
    </row>
    <row r="151" customFormat="false" ht="18.75" hidden="false" customHeight="true" outlineLevel="0" collapsed="false">
      <c r="A151" s="17" t="n">
        <v>147</v>
      </c>
      <c r="B151" s="18" t="s">
        <v>373</v>
      </c>
      <c r="C151" s="23" t="s">
        <v>372</v>
      </c>
      <c r="D151" s="9" t="s">
        <v>38</v>
      </c>
      <c r="E151" s="19" t="n">
        <f aca="false">F151+G151</f>
        <v>105820.5</v>
      </c>
      <c r="F151" s="19" t="n">
        <v>0</v>
      </c>
      <c r="G151" s="19" t="n">
        <v>105820.5</v>
      </c>
      <c r="H151" s="18" t="str">
        <f aca="false">IF(G151&lt;=0,"Paid",IF(F151&gt;0,"Partial","Unpaid"))</f>
        <v>Unpaid</v>
      </c>
      <c r="I151" s="18" t="s">
        <v>147</v>
      </c>
      <c r="J151" s="9"/>
    </row>
    <row r="152" customFormat="false" ht="18.75" hidden="false" customHeight="true" outlineLevel="0" collapsed="false">
      <c r="A152" s="20" t="n">
        <v>148</v>
      </c>
      <c r="B152" s="21" t="s">
        <v>374</v>
      </c>
      <c r="C152" s="24" t="s">
        <v>375</v>
      </c>
      <c r="D152" s="13" t="s">
        <v>42</v>
      </c>
      <c r="E152" s="22" t="n">
        <f aca="false">F152+G152</f>
        <v>23192.5</v>
      </c>
      <c r="F152" s="22" t="n">
        <v>0</v>
      </c>
      <c r="G152" s="22" t="n">
        <v>23192.5</v>
      </c>
      <c r="H152" s="21" t="str">
        <f aca="false">IF(G152&lt;=0,"Paid",IF(F152&gt;0,"Partial","Unpaid"))</f>
        <v>Unpaid</v>
      </c>
      <c r="I152" s="21" t="s">
        <v>147</v>
      </c>
      <c r="J152" s="13"/>
    </row>
    <row r="153" customFormat="false" ht="18.75" hidden="false" customHeight="true" outlineLevel="0" collapsed="false">
      <c r="A153" s="17" t="n">
        <v>149</v>
      </c>
      <c r="B153" s="18" t="s">
        <v>376</v>
      </c>
      <c r="C153" s="23" t="s">
        <v>377</v>
      </c>
      <c r="D153" s="9" t="s">
        <v>38</v>
      </c>
      <c r="E153" s="19" t="n">
        <f aca="false">F153+G153</f>
        <v>52314.5</v>
      </c>
      <c r="F153" s="19" t="n">
        <v>0</v>
      </c>
      <c r="G153" s="19" t="n">
        <v>52314.5</v>
      </c>
      <c r="H153" s="18" t="str">
        <f aca="false">IF(G153&lt;=0,"Paid",IF(F153&gt;0,"Partial","Unpaid"))</f>
        <v>Unpaid</v>
      </c>
      <c r="I153" s="18" t="s">
        <v>147</v>
      </c>
      <c r="J153" s="9"/>
    </row>
    <row r="154" customFormat="false" ht="18.75" hidden="false" customHeight="true" outlineLevel="0" collapsed="false">
      <c r="A154" s="20" t="n">
        <v>150</v>
      </c>
      <c r="B154" s="21" t="s">
        <v>378</v>
      </c>
      <c r="C154" s="24" t="s">
        <v>379</v>
      </c>
      <c r="D154" s="13" t="s">
        <v>38</v>
      </c>
      <c r="E154" s="22" t="n">
        <f aca="false">F154+G154</f>
        <v>70174.13</v>
      </c>
      <c r="F154" s="22" t="n">
        <v>0</v>
      </c>
      <c r="G154" s="22" t="n">
        <v>70174.13</v>
      </c>
      <c r="H154" s="21" t="str">
        <f aca="false">IF(G154&lt;=0,"Paid",IF(F154&gt;0,"Partial","Unpaid"))</f>
        <v>Unpaid</v>
      </c>
      <c r="I154" s="21" t="s">
        <v>147</v>
      </c>
      <c r="J154" s="13"/>
    </row>
    <row r="155" customFormat="false" ht="18.75" hidden="false" customHeight="true" outlineLevel="0" collapsed="false">
      <c r="A155" s="17" t="n">
        <v>151</v>
      </c>
      <c r="B155" s="18" t="s">
        <v>380</v>
      </c>
      <c r="C155" s="23" t="s">
        <v>381</v>
      </c>
      <c r="D155" s="9" t="s">
        <v>42</v>
      </c>
      <c r="E155" s="19" t="n">
        <f aca="false">F155+G155</f>
        <v>30200</v>
      </c>
      <c r="F155" s="19" t="n">
        <v>0</v>
      </c>
      <c r="G155" s="19" t="n">
        <v>30200</v>
      </c>
      <c r="H155" s="18" t="str">
        <f aca="false">IF(G155&lt;=0,"Paid",IF(F155&gt;0,"Partial","Unpaid"))</f>
        <v>Unpaid</v>
      </c>
      <c r="I155" s="18" t="s">
        <v>147</v>
      </c>
      <c r="J155" s="9"/>
    </row>
    <row r="156" customFormat="false" ht="18.75" hidden="false" customHeight="true" outlineLevel="0" collapsed="false">
      <c r="A156" s="20" t="n">
        <v>152</v>
      </c>
      <c r="B156" s="21" t="s">
        <v>382</v>
      </c>
      <c r="C156" s="24" t="s">
        <v>383</v>
      </c>
      <c r="D156" s="13" t="s">
        <v>38</v>
      </c>
      <c r="E156" s="22" t="n">
        <f aca="false">F156+G156</f>
        <v>23007</v>
      </c>
      <c r="F156" s="22" t="n">
        <v>0</v>
      </c>
      <c r="G156" s="22" t="n">
        <v>23007</v>
      </c>
      <c r="H156" s="21" t="str">
        <f aca="false">IF(G156&lt;=0,"Paid",IF(F156&gt;0,"Partial","Unpaid"))</f>
        <v>Unpaid</v>
      </c>
      <c r="I156" s="21" t="s">
        <v>147</v>
      </c>
      <c r="J156" s="13"/>
    </row>
    <row r="157" customFormat="false" ht="18.75" hidden="false" customHeight="true" outlineLevel="0" collapsed="false">
      <c r="A157" s="17" t="n">
        <v>153</v>
      </c>
      <c r="B157" s="18" t="s">
        <v>384</v>
      </c>
      <c r="C157" s="23" t="s">
        <v>385</v>
      </c>
      <c r="D157" s="9" t="s">
        <v>38</v>
      </c>
      <c r="E157" s="19" t="n">
        <f aca="false">F157+G157</f>
        <v>103329.38</v>
      </c>
      <c r="F157" s="19" t="n">
        <v>0</v>
      </c>
      <c r="G157" s="19" t="n">
        <v>103329.38</v>
      </c>
      <c r="H157" s="18" t="str">
        <f aca="false">IF(G157&lt;=0,"Paid",IF(F157&gt;0,"Partial","Unpaid"))</f>
        <v>Unpaid</v>
      </c>
      <c r="I157" s="18" t="s">
        <v>147</v>
      </c>
      <c r="J157" s="9"/>
    </row>
    <row r="158" customFormat="false" ht="18.75" hidden="false" customHeight="true" outlineLevel="0" collapsed="false">
      <c r="A158" s="20" t="n">
        <v>154</v>
      </c>
      <c r="B158" s="21" t="s">
        <v>386</v>
      </c>
      <c r="C158" s="24" t="s">
        <v>387</v>
      </c>
      <c r="D158" s="13" t="s">
        <v>38</v>
      </c>
      <c r="E158" s="22" t="n">
        <f aca="false">F158+G158</f>
        <v>102683.5</v>
      </c>
      <c r="F158" s="22" t="n">
        <v>0</v>
      </c>
      <c r="G158" s="22" t="n">
        <v>102683.5</v>
      </c>
      <c r="H158" s="21" t="str">
        <f aca="false">IF(G158&lt;=0,"Paid",IF(F158&gt;0,"Partial","Unpaid"))</f>
        <v>Unpaid</v>
      </c>
      <c r="I158" s="21" t="s">
        <v>147</v>
      </c>
      <c r="J158" s="13"/>
    </row>
    <row r="159" customFormat="false" ht="18.75" hidden="false" customHeight="true" outlineLevel="0" collapsed="false">
      <c r="A159" s="17" t="n">
        <v>155</v>
      </c>
      <c r="B159" s="18" t="s">
        <v>388</v>
      </c>
      <c r="C159" s="23" t="s">
        <v>389</v>
      </c>
      <c r="D159" s="9" t="s">
        <v>42</v>
      </c>
      <c r="E159" s="19" t="n">
        <f aca="false">F159+G159</f>
        <v>74473.63</v>
      </c>
      <c r="F159" s="19" t="n">
        <v>0</v>
      </c>
      <c r="G159" s="19" t="n">
        <v>74473.63</v>
      </c>
      <c r="H159" s="18" t="str">
        <f aca="false">IF(G159&lt;=0,"Paid",IF(F159&gt;0,"Partial","Unpaid"))</f>
        <v>Unpaid</v>
      </c>
      <c r="I159" s="18" t="s">
        <v>147</v>
      </c>
      <c r="J159" s="9"/>
    </row>
    <row r="160" customFormat="false" ht="18.75" hidden="false" customHeight="true" outlineLevel="0" collapsed="false">
      <c r="A160" s="20" t="n">
        <v>156</v>
      </c>
      <c r="B160" s="21" t="s">
        <v>390</v>
      </c>
      <c r="C160" s="24" t="s">
        <v>389</v>
      </c>
      <c r="D160" s="13" t="s">
        <v>42</v>
      </c>
      <c r="E160" s="22" t="n">
        <f aca="false">F160+G160</f>
        <v>15600</v>
      </c>
      <c r="F160" s="22" t="n">
        <v>0</v>
      </c>
      <c r="G160" s="22" t="n">
        <v>15600</v>
      </c>
      <c r="H160" s="21" t="str">
        <f aca="false">IF(G160&lt;=0,"Paid",IF(F160&gt;0,"Partial","Unpaid"))</f>
        <v>Unpaid</v>
      </c>
      <c r="I160" s="21" t="s">
        <v>147</v>
      </c>
      <c r="J160" s="13"/>
    </row>
    <row r="161" customFormat="false" ht="18.75" hidden="false" customHeight="true" outlineLevel="0" collapsed="false">
      <c r="A161" s="17" t="n">
        <v>157</v>
      </c>
      <c r="B161" s="18" t="s">
        <v>391</v>
      </c>
      <c r="C161" s="23" t="s">
        <v>392</v>
      </c>
      <c r="D161" s="9" t="s">
        <v>38</v>
      </c>
      <c r="E161" s="19" t="n">
        <f aca="false">F161+G161</f>
        <v>72000</v>
      </c>
      <c r="F161" s="19" t="n">
        <v>0</v>
      </c>
      <c r="G161" s="19" t="n">
        <v>72000</v>
      </c>
      <c r="H161" s="18" t="str">
        <f aca="false">IF(G161&lt;=0,"Paid",IF(F161&gt;0,"Partial","Unpaid"))</f>
        <v>Unpaid</v>
      </c>
      <c r="I161" s="18" t="s">
        <v>147</v>
      </c>
      <c r="J161" s="9"/>
    </row>
    <row r="162" customFormat="false" ht="18.75" hidden="false" customHeight="true" outlineLevel="0" collapsed="false">
      <c r="A162" s="20" t="n">
        <v>158</v>
      </c>
      <c r="B162" s="21" t="s">
        <v>393</v>
      </c>
      <c r="C162" s="24" t="s">
        <v>394</v>
      </c>
      <c r="D162" s="13" t="s">
        <v>38</v>
      </c>
      <c r="E162" s="22" t="n">
        <f aca="false">F162+G162</f>
        <v>95500</v>
      </c>
      <c r="F162" s="22" t="n">
        <v>0</v>
      </c>
      <c r="G162" s="22" t="n">
        <v>95500</v>
      </c>
      <c r="H162" s="21" t="str">
        <f aca="false">IF(G162&lt;=0,"Paid",IF(F162&gt;0,"Partial","Unpaid"))</f>
        <v>Unpaid</v>
      </c>
      <c r="I162" s="21" t="s">
        <v>147</v>
      </c>
      <c r="J162" s="13"/>
    </row>
    <row r="163" customFormat="false" ht="18.75" hidden="false" customHeight="true" outlineLevel="0" collapsed="false">
      <c r="A163" s="17" t="n">
        <v>159</v>
      </c>
      <c r="B163" s="18" t="s">
        <v>395</v>
      </c>
      <c r="C163" s="23" t="s">
        <v>396</v>
      </c>
      <c r="D163" s="9" t="s">
        <v>38</v>
      </c>
      <c r="E163" s="19" t="n">
        <f aca="false">F163+G163</f>
        <v>140264</v>
      </c>
      <c r="F163" s="19" t="n">
        <v>0</v>
      </c>
      <c r="G163" s="19" t="n">
        <v>140264</v>
      </c>
      <c r="H163" s="18" t="str">
        <f aca="false">IF(G163&lt;=0,"Paid",IF(F163&gt;0,"Partial","Unpaid"))</f>
        <v>Unpaid</v>
      </c>
      <c r="I163" s="18" t="s">
        <v>147</v>
      </c>
      <c r="J163" s="9"/>
    </row>
    <row r="164" customFormat="false" ht="18.75" hidden="false" customHeight="true" outlineLevel="0" collapsed="false">
      <c r="A164" s="20" t="n">
        <v>160</v>
      </c>
      <c r="B164" s="21" t="s">
        <v>397</v>
      </c>
      <c r="C164" s="24" t="s">
        <v>398</v>
      </c>
      <c r="D164" s="13" t="s">
        <v>38</v>
      </c>
      <c r="E164" s="22" t="n">
        <f aca="false">F164+G164</f>
        <v>148800</v>
      </c>
      <c r="F164" s="22" t="n">
        <v>0</v>
      </c>
      <c r="G164" s="22" t="n">
        <v>148800</v>
      </c>
      <c r="H164" s="21" t="str">
        <f aca="false">IF(G164&lt;=0,"Paid",IF(F164&gt;0,"Partial","Unpaid"))</f>
        <v>Unpaid</v>
      </c>
      <c r="I164" s="21" t="s">
        <v>147</v>
      </c>
      <c r="J164" s="13"/>
    </row>
    <row r="165" customFormat="false" ht="18.75" hidden="false" customHeight="true" outlineLevel="0" collapsed="false">
      <c r="A165" s="17" t="n">
        <v>161</v>
      </c>
      <c r="B165" s="18" t="s">
        <v>399</v>
      </c>
      <c r="C165" s="23" t="s">
        <v>400</v>
      </c>
      <c r="D165" s="9" t="s">
        <v>38</v>
      </c>
      <c r="E165" s="19" t="n">
        <f aca="false">F165+G165</f>
        <v>99088</v>
      </c>
      <c r="F165" s="19" t="n">
        <v>0</v>
      </c>
      <c r="G165" s="19" t="n">
        <v>99088</v>
      </c>
      <c r="H165" s="18" t="str">
        <f aca="false">IF(G165&lt;=0,"Paid",IF(F165&gt;0,"Partial","Unpaid"))</f>
        <v>Unpaid</v>
      </c>
      <c r="I165" s="18" t="s">
        <v>147</v>
      </c>
      <c r="J165" s="9"/>
    </row>
    <row r="166" customFormat="false" ht="18.75" hidden="false" customHeight="true" outlineLevel="0" collapsed="false">
      <c r="A166" s="20" t="n">
        <v>162</v>
      </c>
      <c r="B166" s="21" t="s">
        <v>401</v>
      </c>
      <c r="C166" s="24" t="s">
        <v>402</v>
      </c>
      <c r="D166" s="13" t="s">
        <v>38</v>
      </c>
      <c r="E166" s="22" t="n">
        <f aca="false">F166+G166</f>
        <v>25500</v>
      </c>
      <c r="F166" s="22" t="n">
        <v>0</v>
      </c>
      <c r="G166" s="22" t="n">
        <v>25500</v>
      </c>
      <c r="H166" s="21" t="str">
        <f aca="false">IF(G166&lt;=0,"Paid",IF(F166&gt;0,"Partial","Unpaid"))</f>
        <v>Unpaid</v>
      </c>
      <c r="I166" s="21" t="s">
        <v>147</v>
      </c>
      <c r="J166" s="13" t="s">
        <v>403</v>
      </c>
    </row>
    <row r="167" customFormat="false" ht="18.75" hidden="false" customHeight="true" outlineLevel="0" collapsed="false">
      <c r="A167" s="17" t="n">
        <v>163</v>
      </c>
      <c r="B167" s="18" t="s">
        <v>404</v>
      </c>
      <c r="C167" s="23" t="s">
        <v>405</v>
      </c>
      <c r="D167" s="9" t="s">
        <v>38</v>
      </c>
      <c r="E167" s="19" t="n">
        <f aca="false">F167+G167</f>
        <v>48800</v>
      </c>
      <c r="F167" s="19" t="n">
        <v>0</v>
      </c>
      <c r="G167" s="19" t="n">
        <v>48800</v>
      </c>
      <c r="H167" s="18" t="str">
        <f aca="false">IF(G167&lt;=0,"Paid",IF(F167&gt;0,"Partial","Unpaid"))</f>
        <v>Unpaid</v>
      </c>
      <c r="I167" s="18" t="s">
        <v>147</v>
      </c>
      <c r="J167" s="9"/>
    </row>
    <row r="168" customFormat="false" ht="18.75" hidden="false" customHeight="true" outlineLevel="0" collapsed="false">
      <c r="A168" s="20" t="n">
        <v>164</v>
      </c>
      <c r="B168" s="21" t="s">
        <v>406</v>
      </c>
      <c r="C168" s="24" t="s">
        <v>407</v>
      </c>
      <c r="D168" s="13" t="s">
        <v>38</v>
      </c>
      <c r="E168" s="22" t="n">
        <f aca="false">F168+G168</f>
        <v>17158</v>
      </c>
      <c r="F168" s="22" t="n">
        <v>0</v>
      </c>
      <c r="G168" s="22" t="n">
        <v>17158</v>
      </c>
      <c r="H168" s="21" t="str">
        <f aca="false">IF(G168&lt;=0,"Paid",IF(F168&gt;0,"Partial","Unpaid"))</f>
        <v>Unpaid</v>
      </c>
      <c r="I168" s="21" t="s">
        <v>147</v>
      </c>
      <c r="J168" s="13"/>
    </row>
    <row r="169" customFormat="false" ht="18.75" hidden="false" customHeight="true" outlineLevel="0" collapsed="false">
      <c r="A169" s="17" t="n">
        <v>165</v>
      </c>
      <c r="B169" s="18" t="s">
        <v>408</v>
      </c>
      <c r="C169" s="23" t="s">
        <v>409</v>
      </c>
      <c r="D169" s="9" t="s">
        <v>38</v>
      </c>
      <c r="E169" s="19" t="n">
        <f aca="false">F169+G169</f>
        <v>99255</v>
      </c>
      <c r="F169" s="19" t="n">
        <v>0</v>
      </c>
      <c r="G169" s="19" t="n">
        <v>99255</v>
      </c>
      <c r="H169" s="18" t="str">
        <f aca="false">IF(G169&lt;=0,"Paid",IF(F169&gt;0,"Partial","Unpaid"))</f>
        <v>Unpaid</v>
      </c>
      <c r="I169" s="18" t="s">
        <v>147</v>
      </c>
      <c r="J169" s="9"/>
    </row>
    <row r="170" customFormat="false" ht="18.75" hidden="false" customHeight="true" outlineLevel="0" collapsed="false">
      <c r="A170" s="20" t="n">
        <v>166</v>
      </c>
      <c r="B170" s="21" t="s">
        <v>410</v>
      </c>
      <c r="C170" s="24" t="s">
        <v>411</v>
      </c>
      <c r="D170" s="13" t="s">
        <v>42</v>
      </c>
      <c r="E170" s="22" t="n">
        <f aca="false">F170+G170</f>
        <v>54830</v>
      </c>
      <c r="F170" s="22" t="n">
        <v>0</v>
      </c>
      <c r="G170" s="22" t="n">
        <v>54830</v>
      </c>
      <c r="H170" s="21" t="str">
        <f aca="false">IF(G170&lt;=0,"Paid",IF(F170&gt;0,"Partial","Unpaid"))</f>
        <v>Unpaid</v>
      </c>
      <c r="I170" s="21" t="s">
        <v>147</v>
      </c>
      <c r="J170" s="13"/>
    </row>
    <row r="171" customFormat="false" ht="18.75" hidden="false" customHeight="true" outlineLevel="0" collapsed="false">
      <c r="A171" s="17" t="n">
        <v>167</v>
      </c>
      <c r="B171" s="18" t="s">
        <v>412</v>
      </c>
      <c r="C171" s="23" t="s">
        <v>413</v>
      </c>
      <c r="D171" s="9" t="s">
        <v>38</v>
      </c>
      <c r="E171" s="19" t="n">
        <f aca="false">F171+G171</f>
        <v>114344.38</v>
      </c>
      <c r="F171" s="19" t="n">
        <v>0</v>
      </c>
      <c r="G171" s="19" t="n">
        <v>114344.38</v>
      </c>
      <c r="H171" s="18" t="str">
        <f aca="false">IF(G171&lt;=0,"Paid",IF(F171&gt;0,"Partial","Unpaid"))</f>
        <v>Unpaid</v>
      </c>
      <c r="I171" s="18" t="s">
        <v>147</v>
      </c>
      <c r="J171" s="9"/>
    </row>
    <row r="172" customFormat="false" ht="18.75" hidden="false" customHeight="true" outlineLevel="0" collapsed="false">
      <c r="A172" s="20" t="n">
        <v>168</v>
      </c>
      <c r="B172" s="21" t="s">
        <v>414</v>
      </c>
      <c r="C172" s="24" t="s">
        <v>415</v>
      </c>
      <c r="D172" s="13" t="s">
        <v>38</v>
      </c>
      <c r="E172" s="22" t="n">
        <f aca="false">F172+G172</f>
        <v>124616.25</v>
      </c>
      <c r="F172" s="22" t="n">
        <v>0</v>
      </c>
      <c r="G172" s="22" t="n">
        <v>124616.25</v>
      </c>
      <c r="H172" s="21" t="str">
        <f aca="false">IF(G172&lt;=0,"Paid",IF(F172&gt;0,"Partial","Unpaid"))</f>
        <v>Unpaid</v>
      </c>
      <c r="I172" s="21" t="s">
        <v>147</v>
      </c>
      <c r="J172" s="13"/>
    </row>
    <row r="173" customFormat="false" ht="18.75" hidden="false" customHeight="true" outlineLevel="0" collapsed="false">
      <c r="A173" s="17" t="n">
        <v>169</v>
      </c>
      <c r="B173" s="18" t="s">
        <v>416</v>
      </c>
      <c r="C173" s="23" t="s">
        <v>417</v>
      </c>
      <c r="D173" s="9" t="s">
        <v>38</v>
      </c>
      <c r="E173" s="19" t="n">
        <f aca="false">F173+G173</f>
        <v>159362.25</v>
      </c>
      <c r="F173" s="19" t="n">
        <v>0</v>
      </c>
      <c r="G173" s="19" t="n">
        <v>159362.25</v>
      </c>
      <c r="H173" s="18" t="str">
        <f aca="false">IF(G173&lt;=0,"Paid",IF(F173&gt;0,"Partial","Unpaid"))</f>
        <v>Unpaid</v>
      </c>
      <c r="I173" s="18" t="s">
        <v>147</v>
      </c>
      <c r="J173" s="9"/>
    </row>
    <row r="174" customFormat="false" ht="18.75" hidden="false" customHeight="true" outlineLevel="0" collapsed="false">
      <c r="A174" s="20" t="n">
        <v>170</v>
      </c>
      <c r="B174" s="21" t="s">
        <v>418</v>
      </c>
      <c r="C174" s="24" t="s">
        <v>419</v>
      </c>
      <c r="D174" s="13" t="s">
        <v>38</v>
      </c>
      <c r="E174" s="22" t="n">
        <f aca="false">F174+G174</f>
        <v>84620.25</v>
      </c>
      <c r="F174" s="22" t="n">
        <v>0</v>
      </c>
      <c r="G174" s="22" t="n">
        <v>84620.25</v>
      </c>
      <c r="H174" s="21" t="str">
        <f aca="false">IF(G174&lt;=0,"Paid",IF(F174&gt;0,"Partial","Unpaid"))</f>
        <v>Unpaid</v>
      </c>
      <c r="I174" s="21" t="s">
        <v>147</v>
      </c>
      <c r="J174" s="13"/>
    </row>
    <row r="175" customFormat="false" ht="18.75" hidden="false" customHeight="true" outlineLevel="0" collapsed="false">
      <c r="A175" s="17" t="n">
        <v>171</v>
      </c>
      <c r="B175" s="18" t="s">
        <v>420</v>
      </c>
      <c r="C175" s="23" t="s">
        <v>421</v>
      </c>
      <c r="D175" s="9" t="s">
        <v>42</v>
      </c>
      <c r="E175" s="19" t="n">
        <f aca="false">F175+G175</f>
        <v>65010.5</v>
      </c>
      <c r="F175" s="19" t="n">
        <v>0</v>
      </c>
      <c r="G175" s="19" t="n">
        <v>65010.5</v>
      </c>
      <c r="H175" s="18" t="str">
        <f aca="false">IF(G175&lt;=0,"Paid",IF(F175&gt;0,"Partial","Unpaid"))</f>
        <v>Unpaid</v>
      </c>
      <c r="I175" s="18" t="s">
        <v>147</v>
      </c>
      <c r="J175" s="9"/>
    </row>
    <row r="176" customFormat="false" ht="18.75" hidden="false" customHeight="true" outlineLevel="0" collapsed="false">
      <c r="A176" s="20" t="n">
        <v>172</v>
      </c>
      <c r="B176" s="21" t="s">
        <v>422</v>
      </c>
      <c r="C176" s="24" t="s">
        <v>423</v>
      </c>
      <c r="D176" s="13" t="s">
        <v>38</v>
      </c>
      <c r="E176" s="22" t="n">
        <f aca="false">F176+G176</f>
        <v>131562.25</v>
      </c>
      <c r="F176" s="22" t="n">
        <v>0</v>
      </c>
      <c r="G176" s="22" t="n">
        <v>131562.25</v>
      </c>
      <c r="H176" s="21" t="str">
        <f aca="false">IF(G176&lt;=0,"Paid",IF(F176&gt;0,"Partial","Unpaid"))</f>
        <v>Unpaid</v>
      </c>
      <c r="I176" s="21" t="s">
        <v>147</v>
      </c>
      <c r="J176" s="13"/>
    </row>
    <row r="177" customFormat="false" ht="18.75" hidden="false" customHeight="true" outlineLevel="0" collapsed="false">
      <c r="A177" s="17" t="n">
        <v>173</v>
      </c>
      <c r="B177" s="18" t="s">
        <v>424</v>
      </c>
      <c r="C177" s="23" t="s">
        <v>425</v>
      </c>
      <c r="D177" s="9" t="s">
        <v>42</v>
      </c>
      <c r="E177" s="19" t="n">
        <f aca="false">F177+G177</f>
        <v>26900</v>
      </c>
      <c r="F177" s="19" t="n">
        <v>0</v>
      </c>
      <c r="G177" s="19" t="n">
        <v>26900</v>
      </c>
      <c r="H177" s="18" t="str">
        <f aca="false">IF(G177&lt;=0,"Paid",IF(F177&gt;0,"Partial","Unpaid"))</f>
        <v>Unpaid</v>
      </c>
      <c r="I177" s="18" t="s">
        <v>147</v>
      </c>
      <c r="J177" s="9"/>
    </row>
    <row r="178" customFormat="false" ht="18.75" hidden="false" customHeight="true" outlineLevel="0" collapsed="false">
      <c r="A178" s="20" t="n">
        <v>174</v>
      </c>
      <c r="B178" s="21" t="s">
        <v>426</v>
      </c>
      <c r="C178" s="24" t="s">
        <v>427</v>
      </c>
      <c r="D178" s="13" t="s">
        <v>38</v>
      </c>
      <c r="E178" s="22" t="n">
        <f aca="false">F178+G178</f>
        <v>20245.88</v>
      </c>
      <c r="F178" s="22" t="n">
        <v>0</v>
      </c>
      <c r="G178" s="22" t="n">
        <v>20245.88</v>
      </c>
      <c r="H178" s="21" t="str">
        <f aca="false">IF(G178&lt;=0,"Paid",IF(F178&gt;0,"Partial","Unpaid"))</f>
        <v>Unpaid</v>
      </c>
      <c r="I178" s="21" t="s">
        <v>147</v>
      </c>
      <c r="J178" s="13"/>
    </row>
    <row r="179" customFormat="false" ht="18.75" hidden="false" customHeight="true" outlineLevel="0" collapsed="false">
      <c r="A179" s="17" t="n">
        <v>175</v>
      </c>
      <c r="B179" s="18" t="s">
        <v>428</v>
      </c>
      <c r="C179" s="23" t="s">
        <v>429</v>
      </c>
      <c r="D179" s="9" t="s">
        <v>38</v>
      </c>
      <c r="E179" s="19" t="n">
        <f aca="false">F179+G179</f>
        <v>51452</v>
      </c>
      <c r="F179" s="19" t="n">
        <v>22680</v>
      </c>
      <c r="G179" s="19" t="n">
        <v>28772</v>
      </c>
      <c r="H179" s="18" t="str">
        <f aca="false">IF(G179&lt;=0,"Paid",IF(F179&gt;0,"Partial","Unpaid"))</f>
        <v>Partial</v>
      </c>
      <c r="I179" s="18" t="s">
        <v>147</v>
      </c>
      <c r="J179" s="9" t="s">
        <v>430</v>
      </c>
    </row>
    <row r="180" customFormat="false" ht="18.75" hidden="false" customHeight="true" outlineLevel="0" collapsed="false">
      <c r="A180" s="20" t="n">
        <v>176</v>
      </c>
      <c r="B180" s="21" t="s">
        <v>431</v>
      </c>
      <c r="C180" s="24" t="s">
        <v>432</v>
      </c>
      <c r="D180" s="13" t="s">
        <v>42</v>
      </c>
      <c r="E180" s="22" t="n">
        <f aca="false">F180+G180</f>
        <v>28800</v>
      </c>
      <c r="F180" s="22" t="n">
        <v>0</v>
      </c>
      <c r="G180" s="22" t="n">
        <v>28800</v>
      </c>
      <c r="H180" s="21" t="str">
        <f aca="false">IF(G180&lt;=0,"Paid",IF(F180&gt;0,"Partial","Unpaid"))</f>
        <v>Unpaid</v>
      </c>
      <c r="I180" s="21" t="s">
        <v>147</v>
      </c>
      <c r="J180" s="13"/>
    </row>
    <row r="181" customFormat="false" ht="18.75" hidden="false" customHeight="true" outlineLevel="0" collapsed="false">
      <c r="A181" s="17" t="n">
        <v>177</v>
      </c>
      <c r="B181" s="18" t="s">
        <v>433</v>
      </c>
      <c r="C181" s="23" t="s">
        <v>434</v>
      </c>
      <c r="D181" s="9" t="s">
        <v>38</v>
      </c>
      <c r="E181" s="19" t="n">
        <f aca="false">F181+G181</f>
        <v>186887.5</v>
      </c>
      <c r="F181" s="19" t="n">
        <v>0</v>
      </c>
      <c r="G181" s="19" t="n">
        <v>186887.5</v>
      </c>
      <c r="H181" s="18" t="str">
        <f aca="false">IF(G181&lt;=0,"Paid",IF(F181&gt;0,"Partial","Unpaid"))</f>
        <v>Unpaid</v>
      </c>
      <c r="I181" s="18" t="s">
        <v>147</v>
      </c>
      <c r="J181" s="9"/>
    </row>
    <row r="182" customFormat="false" ht="18.75" hidden="false" customHeight="true" outlineLevel="0" collapsed="false">
      <c r="A182" s="20" t="n">
        <v>178</v>
      </c>
      <c r="B182" s="21" t="s">
        <v>435</v>
      </c>
      <c r="C182" s="24" t="s">
        <v>436</v>
      </c>
      <c r="D182" s="13" t="s">
        <v>38</v>
      </c>
      <c r="E182" s="22" t="n">
        <f aca="false">F182+G182</f>
        <v>47000</v>
      </c>
      <c r="F182" s="22" t="n">
        <v>0</v>
      </c>
      <c r="G182" s="22" t="n">
        <v>47000</v>
      </c>
      <c r="H182" s="21" t="str">
        <f aca="false">IF(G182&lt;=0,"Paid",IF(F182&gt;0,"Partial","Unpaid"))</f>
        <v>Unpaid</v>
      </c>
      <c r="I182" s="21" t="s">
        <v>147</v>
      </c>
      <c r="J182" s="13"/>
    </row>
    <row r="183" customFormat="false" ht="21.75" hidden="false" customHeight="true" outlineLevel="0" collapsed="false">
      <c r="A183" s="25"/>
      <c r="B183" s="25"/>
      <c r="C183" s="25"/>
      <c r="D183" s="26" t="s">
        <v>437</v>
      </c>
      <c r="E183" s="27" t="n">
        <f aca="false">SUM(E5:E182)</f>
        <v>15303831.01</v>
      </c>
      <c r="F183" s="27" t="n">
        <f aca="false">SUM(F5:F182)</f>
        <v>1025389</v>
      </c>
      <c r="G183" s="27" t="n">
        <f aca="false">SUM(G5:G182)</f>
        <v>14278442.01</v>
      </c>
      <c r="H183" s="25"/>
      <c r="I183" s="25"/>
      <c r="J18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3" min="2" style="0" width="13"/>
    <col collapsed="false" customWidth="true" hidden="false" outlineLevel="0" max="4" min="4" style="0" width="57"/>
    <col collapsed="false" customWidth="true" hidden="false" outlineLevel="0" max="5" min="5" style="0" width="41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7"/>
  </cols>
  <sheetData>
    <row r="1" customFormat="false" ht="18.55" hidden="false" customHeight="false" outlineLevel="0" collapsed="false">
      <c r="A1" s="1" t="s">
        <v>438</v>
      </c>
    </row>
    <row r="2" customFormat="false" ht="15" hidden="false" customHeight="false" outlineLevel="0" collapsed="false">
      <c r="A2" s="2" t="s">
        <v>439</v>
      </c>
    </row>
    <row r="4" customFormat="false" ht="24" hidden="false" customHeight="true" outlineLevel="0" collapsed="false">
      <c r="A4" s="5" t="s">
        <v>79</v>
      </c>
      <c r="B4" s="5" t="s">
        <v>80</v>
      </c>
      <c r="C4" s="5" t="s">
        <v>81</v>
      </c>
      <c r="D4" s="5" t="s">
        <v>440</v>
      </c>
      <c r="E4" s="5" t="s">
        <v>441</v>
      </c>
      <c r="F4" s="5" t="s">
        <v>60</v>
      </c>
      <c r="G4" s="5" t="s">
        <v>442</v>
      </c>
      <c r="H4" s="5" t="s">
        <v>62</v>
      </c>
      <c r="I4" s="5" t="s">
        <v>443</v>
      </c>
      <c r="J4" s="5" t="s">
        <v>444</v>
      </c>
      <c r="K4" s="5" t="s">
        <v>445</v>
      </c>
      <c r="L4" s="5" t="s">
        <v>446</v>
      </c>
    </row>
    <row r="5" customFormat="false" ht="18.75" hidden="false" customHeight="true" outlineLevel="0" collapsed="false">
      <c r="A5" s="17" t="n">
        <v>1</v>
      </c>
      <c r="B5" s="18" t="s">
        <v>88</v>
      </c>
      <c r="C5" s="23" t="s">
        <v>89</v>
      </c>
      <c r="D5" s="9" t="s">
        <v>48</v>
      </c>
      <c r="E5" s="9" t="s">
        <v>74</v>
      </c>
      <c r="F5" s="18" t="s">
        <v>39</v>
      </c>
      <c r="G5" s="19" t="n">
        <v>100</v>
      </c>
      <c r="H5" s="18" t="s">
        <v>67</v>
      </c>
      <c r="I5" s="19" t="n">
        <v>1200</v>
      </c>
      <c r="J5" s="19" t="n">
        <v>0</v>
      </c>
      <c r="K5" s="19" t="n">
        <v>0</v>
      </c>
      <c r="L5" s="19" t="n">
        <f aca="false">G5*I5-J5+K5</f>
        <v>120000</v>
      </c>
    </row>
    <row r="6" customFormat="false" ht="18.75" hidden="false" customHeight="true" outlineLevel="0" collapsed="false">
      <c r="A6" s="20" t="n">
        <v>2</v>
      </c>
      <c r="B6" s="21" t="s">
        <v>88</v>
      </c>
      <c r="C6" s="24" t="s">
        <v>89</v>
      </c>
      <c r="D6" s="13" t="s">
        <v>48</v>
      </c>
      <c r="E6" s="13" t="s">
        <v>447</v>
      </c>
      <c r="F6" s="21" t="s">
        <v>39</v>
      </c>
      <c r="G6" s="22" t="n">
        <v>2</v>
      </c>
      <c r="H6" s="21" t="s">
        <v>67</v>
      </c>
      <c r="I6" s="22" t="n">
        <v>6200</v>
      </c>
      <c r="J6" s="22" t="n">
        <v>0</v>
      </c>
      <c r="K6" s="22" t="n">
        <v>0</v>
      </c>
      <c r="L6" s="22" t="n">
        <f aca="false">G6*I6-J6+K6</f>
        <v>12400</v>
      </c>
    </row>
    <row r="7" customFormat="false" ht="18.75" hidden="false" customHeight="true" outlineLevel="0" collapsed="false">
      <c r="A7" s="17" t="n">
        <v>3</v>
      </c>
      <c r="B7" s="18" t="s">
        <v>91</v>
      </c>
      <c r="C7" s="23" t="s">
        <v>92</v>
      </c>
      <c r="D7" s="9" t="s">
        <v>54</v>
      </c>
      <c r="E7" s="9" t="s">
        <v>448</v>
      </c>
      <c r="F7" s="18" t="s">
        <v>39</v>
      </c>
      <c r="G7" s="19" t="n">
        <v>1190</v>
      </c>
      <c r="H7" s="18" t="s">
        <v>65</v>
      </c>
      <c r="I7" s="19" t="n">
        <v>18</v>
      </c>
      <c r="J7" s="19" t="n">
        <v>0</v>
      </c>
      <c r="K7" s="19" t="n">
        <v>0</v>
      </c>
      <c r="L7" s="19" t="n">
        <f aca="false">G7*I7-J7+K7</f>
        <v>21420</v>
      </c>
    </row>
    <row r="8" customFormat="false" ht="18.75" hidden="false" customHeight="true" outlineLevel="0" collapsed="false">
      <c r="A8" s="20" t="n">
        <v>4</v>
      </c>
      <c r="B8" s="21" t="s">
        <v>91</v>
      </c>
      <c r="C8" s="24" t="s">
        <v>92</v>
      </c>
      <c r="D8" s="13" t="s">
        <v>54</v>
      </c>
      <c r="E8" s="13" t="s">
        <v>76</v>
      </c>
      <c r="F8" s="21" t="s">
        <v>39</v>
      </c>
      <c r="G8" s="22" t="n">
        <v>20</v>
      </c>
      <c r="H8" s="21" t="s">
        <v>67</v>
      </c>
      <c r="I8" s="22" t="n">
        <v>200</v>
      </c>
      <c r="J8" s="22" t="n">
        <v>0</v>
      </c>
      <c r="K8" s="22" t="n">
        <v>0</v>
      </c>
      <c r="L8" s="22" t="n">
        <f aca="false">G8*I8-J8+K8</f>
        <v>4000</v>
      </c>
    </row>
    <row r="9" customFormat="false" ht="18.75" hidden="false" customHeight="true" outlineLevel="0" collapsed="false">
      <c r="A9" s="17" t="n">
        <v>5</v>
      </c>
      <c r="B9" s="18" t="s">
        <v>91</v>
      </c>
      <c r="C9" s="23" t="s">
        <v>92</v>
      </c>
      <c r="D9" s="9" t="s">
        <v>54</v>
      </c>
      <c r="E9" s="9" t="s">
        <v>449</v>
      </c>
      <c r="F9" s="18" t="s">
        <v>39</v>
      </c>
      <c r="G9" s="19" t="n">
        <v>260</v>
      </c>
      <c r="H9" s="18" t="s">
        <v>73</v>
      </c>
      <c r="I9" s="19" t="n">
        <v>12</v>
      </c>
      <c r="J9" s="19" t="n">
        <v>0</v>
      </c>
      <c r="K9" s="19" t="n">
        <v>0</v>
      </c>
      <c r="L9" s="19" t="n">
        <f aca="false">G9*I9-J9+K9</f>
        <v>3120</v>
      </c>
    </row>
    <row r="10" customFormat="false" ht="18.75" hidden="false" customHeight="true" outlineLevel="0" collapsed="false">
      <c r="A10" s="20" t="n">
        <v>6</v>
      </c>
      <c r="B10" s="21" t="s">
        <v>91</v>
      </c>
      <c r="C10" s="24" t="s">
        <v>92</v>
      </c>
      <c r="D10" s="13" t="s">
        <v>54</v>
      </c>
      <c r="E10" s="13" t="s">
        <v>450</v>
      </c>
      <c r="F10" s="21" t="s">
        <v>39</v>
      </c>
      <c r="G10" s="22" t="n">
        <v>2</v>
      </c>
      <c r="H10" s="21" t="s">
        <v>67</v>
      </c>
      <c r="I10" s="22" t="n">
        <v>18500</v>
      </c>
      <c r="J10" s="22" t="n">
        <v>0</v>
      </c>
      <c r="K10" s="22" t="n">
        <v>0</v>
      </c>
      <c r="L10" s="22" t="n">
        <f aca="false">G10*I10-J10+K10</f>
        <v>37000</v>
      </c>
    </row>
    <row r="11" customFormat="false" ht="18.75" hidden="false" customHeight="true" outlineLevel="0" collapsed="false">
      <c r="A11" s="17" t="n">
        <v>7</v>
      </c>
      <c r="B11" s="18" t="s">
        <v>91</v>
      </c>
      <c r="C11" s="23" t="s">
        <v>92</v>
      </c>
      <c r="D11" s="9" t="s">
        <v>54</v>
      </c>
      <c r="E11" s="9" t="s">
        <v>66</v>
      </c>
      <c r="F11" s="18" t="s">
        <v>39</v>
      </c>
      <c r="G11" s="19" t="n">
        <v>150</v>
      </c>
      <c r="H11" s="18" t="s">
        <v>67</v>
      </c>
      <c r="I11" s="19" t="n">
        <v>295</v>
      </c>
      <c r="J11" s="19" t="n">
        <v>0</v>
      </c>
      <c r="K11" s="19" t="n">
        <v>0</v>
      </c>
      <c r="L11" s="19" t="n">
        <f aca="false">G11*I11-J11+K11</f>
        <v>44250</v>
      </c>
    </row>
    <row r="12" customFormat="false" ht="18.75" hidden="false" customHeight="true" outlineLevel="0" collapsed="false">
      <c r="A12" s="20" t="n">
        <v>8</v>
      </c>
      <c r="B12" s="21" t="s">
        <v>91</v>
      </c>
      <c r="C12" s="24" t="s">
        <v>92</v>
      </c>
      <c r="D12" s="13" t="s">
        <v>54</v>
      </c>
      <c r="E12" s="13" t="s">
        <v>451</v>
      </c>
      <c r="F12" s="21" t="s">
        <v>39</v>
      </c>
      <c r="G12" s="22" t="n">
        <v>1</v>
      </c>
      <c r="H12" s="21"/>
      <c r="I12" s="22" t="n">
        <v>3700</v>
      </c>
      <c r="J12" s="22" t="n">
        <v>0</v>
      </c>
      <c r="K12" s="22" t="n">
        <v>0</v>
      </c>
      <c r="L12" s="22" t="n">
        <f aca="false">G12*I12-J12+K12</f>
        <v>3700</v>
      </c>
    </row>
    <row r="13" customFormat="false" ht="18.75" hidden="false" customHeight="true" outlineLevel="0" collapsed="false">
      <c r="A13" s="17" t="n">
        <v>9</v>
      </c>
      <c r="B13" s="18" t="s">
        <v>93</v>
      </c>
      <c r="C13" s="23" t="s">
        <v>92</v>
      </c>
      <c r="D13" s="9" t="s">
        <v>94</v>
      </c>
      <c r="E13" s="9" t="s">
        <v>448</v>
      </c>
      <c r="F13" s="18" t="s">
        <v>39</v>
      </c>
      <c r="G13" s="19" t="n">
        <v>872.75</v>
      </c>
      <c r="H13" s="18" t="s">
        <v>65</v>
      </c>
      <c r="I13" s="19" t="n">
        <v>18</v>
      </c>
      <c r="J13" s="19" t="n">
        <v>0</v>
      </c>
      <c r="K13" s="19" t="n">
        <v>0</v>
      </c>
      <c r="L13" s="19" t="n">
        <f aca="false">G13*I13-J13+K13</f>
        <v>15709.5</v>
      </c>
    </row>
    <row r="14" customFormat="false" ht="18.75" hidden="false" customHeight="true" outlineLevel="0" collapsed="false">
      <c r="A14" s="20" t="n">
        <v>10</v>
      </c>
      <c r="B14" s="21" t="s">
        <v>95</v>
      </c>
      <c r="C14" s="24" t="s">
        <v>92</v>
      </c>
      <c r="D14" s="13" t="s">
        <v>96</v>
      </c>
      <c r="E14" s="13" t="s">
        <v>70</v>
      </c>
      <c r="F14" s="21" t="s">
        <v>39</v>
      </c>
      <c r="G14" s="22" t="n">
        <v>2</v>
      </c>
      <c r="H14" s="21" t="s">
        <v>67</v>
      </c>
      <c r="I14" s="22" t="n">
        <v>25000</v>
      </c>
      <c r="J14" s="22" t="n">
        <v>0</v>
      </c>
      <c r="K14" s="22" t="n">
        <v>0</v>
      </c>
      <c r="L14" s="22" t="n">
        <f aca="false">G14*I14-J14+K14</f>
        <v>50000</v>
      </c>
    </row>
    <row r="15" customFormat="false" ht="18.75" hidden="false" customHeight="true" outlineLevel="0" collapsed="false">
      <c r="A15" s="17" t="n">
        <v>11</v>
      </c>
      <c r="B15" s="18" t="s">
        <v>97</v>
      </c>
      <c r="C15" s="23" t="s">
        <v>98</v>
      </c>
      <c r="D15" s="9" t="s">
        <v>99</v>
      </c>
      <c r="E15" s="9" t="s">
        <v>450</v>
      </c>
      <c r="F15" s="18" t="s">
        <v>39</v>
      </c>
      <c r="G15" s="19" t="n">
        <v>2</v>
      </c>
      <c r="H15" s="18" t="s">
        <v>67</v>
      </c>
      <c r="I15" s="19" t="n">
        <v>18500</v>
      </c>
      <c r="J15" s="19" t="n">
        <v>1000</v>
      </c>
      <c r="K15" s="19" t="n">
        <v>0</v>
      </c>
      <c r="L15" s="19" t="n">
        <f aca="false">G15*I15-J15+K15</f>
        <v>36000</v>
      </c>
    </row>
    <row r="16" customFormat="false" ht="18.75" hidden="false" customHeight="true" outlineLevel="0" collapsed="false">
      <c r="A16" s="20" t="n">
        <v>12</v>
      </c>
      <c r="B16" s="21" t="s">
        <v>100</v>
      </c>
      <c r="C16" s="24" t="s">
        <v>101</v>
      </c>
      <c r="D16" s="13" t="s">
        <v>44</v>
      </c>
      <c r="E16" s="13" t="s">
        <v>68</v>
      </c>
      <c r="F16" s="21" t="s">
        <v>39</v>
      </c>
      <c r="G16" s="22" t="n">
        <v>1197</v>
      </c>
      <c r="H16" s="21" t="s">
        <v>65</v>
      </c>
      <c r="I16" s="22" t="n">
        <v>17.5</v>
      </c>
      <c r="J16" s="22" t="n">
        <v>0</v>
      </c>
      <c r="K16" s="22" t="n">
        <v>0</v>
      </c>
      <c r="L16" s="22" t="n">
        <f aca="false">G16*I16-J16+K16</f>
        <v>20947.5</v>
      </c>
    </row>
    <row r="17" customFormat="false" ht="18.75" hidden="false" customHeight="true" outlineLevel="0" collapsed="false">
      <c r="A17" s="17" t="n">
        <v>13</v>
      </c>
      <c r="B17" s="18" t="s">
        <v>100</v>
      </c>
      <c r="C17" s="23" t="s">
        <v>101</v>
      </c>
      <c r="D17" s="9" t="s">
        <v>44</v>
      </c>
      <c r="E17" s="9" t="s">
        <v>452</v>
      </c>
      <c r="F17" s="18" t="s">
        <v>39</v>
      </c>
      <c r="G17" s="19" t="n">
        <v>4</v>
      </c>
      <c r="H17" s="18" t="s">
        <v>67</v>
      </c>
      <c r="I17" s="19" t="n">
        <v>1125</v>
      </c>
      <c r="J17" s="19" t="n">
        <v>0</v>
      </c>
      <c r="K17" s="19" t="n">
        <v>0</v>
      </c>
      <c r="L17" s="19" t="n">
        <f aca="false">G17*I17-J17+K17</f>
        <v>4500</v>
      </c>
    </row>
    <row r="18" customFormat="false" ht="18.75" hidden="false" customHeight="true" outlineLevel="0" collapsed="false">
      <c r="A18" s="20" t="n">
        <v>14</v>
      </c>
      <c r="B18" s="21" t="s">
        <v>100</v>
      </c>
      <c r="C18" s="24" t="s">
        <v>101</v>
      </c>
      <c r="D18" s="13" t="s">
        <v>44</v>
      </c>
      <c r="E18" s="13" t="s">
        <v>453</v>
      </c>
      <c r="F18" s="21" t="s">
        <v>39</v>
      </c>
      <c r="G18" s="22" t="n">
        <v>2</v>
      </c>
      <c r="H18" s="21"/>
      <c r="I18" s="22" t="n">
        <v>1600</v>
      </c>
      <c r="J18" s="22" t="n">
        <v>0</v>
      </c>
      <c r="K18" s="22" t="n">
        <v>0</v>
      </c>
      <c r="L18" s="22" t="n">
        <f aca="false">G18*I18-J18+K18</f>
        <v>3200</v>
      </c>
    </row>
    <row r="19" customFormat="false" ht="18.75" hidden="false" customHeight="true" outlineLevel="0" collapsed="false">
      <c r="A19" s="17" t="n">
        <v>15</v>
      </c>
      <c r="B19" s="18" t="s">
        <v>102</v>
      </c>
      <c r="C19" s="23" t="s">
        <v>103</v>
      </c>
      <c r="D19" s="9" t="s">
        <v>50</v>
      </c>
      <c r="E19" s="9" t="s">
        <v>70</v>
      </c>
      <c r="F19" s="18" t="s">
        <v>39</v>
      </c>
      <c r="G19" s="19" t="n">
        <v>4</v>
      </c>
      <c r="H19" s="18" t="s">
        <v>67</v>
      </c>
      <c r="I19" s="19" t="n">
        <v>24000</v>
      </c>
      <c r="J19" s="19" t="n">
        <v>2000</v>
      </c>
      <c r="K19" s="19" t="n">
        <v>0</v>
      </c>
      <c r="L19" s="19" t="n">
        <f aca="false">G19*I19-J19+K19</f>
        <v>94000</v>
      </c>
    </row>
    <row r="20" customFormat="false" ht="18.75" hidden="false" customHeight="true" outlineLevel="0" collapsed="false">
      <c r="A20" s="20" t="n">
        <v>16</v>
      </c>
      <c r="B20" s="21" t="s">
        <v>102</v>
      </c>
      <c r="C20" s="24" t="s">
        <v>103</v>
      </c>
      <c r="D20" s="13" t="s">
        <v>50</v>
      </c>
      <c r="E20" s="13" t="s">
        <v>66</v>
      </c>
      <c r="F20" s="21" t="s">
        <v>39</v>
      </c>
      <c r="G20" s="22" t="n">
        <v>100</v>
      </c>
      <c r="H20" s="21" t="s">
        <v>67</v>
      </c>
      <c r="I20" s="22" t="n">
        <v>290</v>
      </c>
      <c r="J20" s="22" t="n">
        <v>0</v>
      </c>
      <c r="K20" s="22" t="n">
        <v>0</v>
      </c>
      <c r="L20" s="22" t="n">
        <f aca="false">G20*I20-J20+K20</f>
        <v>29000</v>
      </c>
    </row>
    <row r="21" customFormat="false" ht="18.75" hidden="false" customHeight="true" outlineLevel="0" collapsed="false">
      <c r="A21" s="17" t="n">
        <v>17</v>
      </c>
      <c r="B21" s="18" t="s">
        <v>105</v>
      </c>
      <c r="C21" s="23" t="s">
        <v>106</v>
      </c>
      <c r="D21" s="9" t="s">
        <v>107</v>
      </c>
      <c r="E21" s="9" t="s">
        <v>70</v>
      </c>
      <c r="F21" s="18" t="s">
        <v>39</v>
      </c>
      <c r="G21" s="19" t="n">
        <v>2</v>
      </c>
      <c r="H21" s="18" t="s">
        <v>67</v>
      </c>
      <c r="I21" s="19" t="n">
        <v>22800</v>
      </c>
      <c r="J21" s="19" t="n">
        <v>0</v>
      </c>
      <c r="K21" s="19" t="n">
        <v>0</v>
      </c>
      <c r="L21" s="19" t="n">
        <f aca="false">G21*I21-J21+K21</f>
        <v>45600</v>
      </c>
    </row>
    <row r="22" customFormat="false" ht="18.75" hidden="false" customHeight="true" outlineLevel="0" collapsed="false">
      <c r="A22" s="20" t="n">
        <v>18</v>
      </c>
      <c r="B22" s="21" t="s">
        <v>108</v>
      </c>
      <c r="C22" s="24" t="s">
        <v>109</v>
      </c>
      <c r="D22" s="13" t="s">
        <v>110</v>
      </c>
      <c r="E22" s="13" t="s">
        <v>454</v>
      </c>
      <c r="F22" s="21" t="s">
        <v>39</v>
      </c>
      <c r="G22" s="22" t="n">
        <v>4</v>
      </c>
      <c r="H22" s="21" t="s">
        <v>67</v>
      </c>
      <c r="I22" s="22" t="n">
        <v>16400</v>
      </c>
      <c r="J22" s="22" t="n">
        <v>100</v>
      </c>
      <c r="K22" s="22" t="n">
        <v>0</v>
      </c>
      <c r="L22" s="22" t="n">
        <f aca="false">G22*I22-J22+K22</f>
        <v>65500</v>
      </c>
    </row>
    <row r="23" customFormat="false" ht="18.75" hidden="false" customHeight="true" outlineLevel="0" collapsed="false">
      <c r="A23" s="17" t="n">
        <v>19</v>
      </c>
      <c r="B23" s="18" t="s">
        <v>111</v>
      </c>
      <c r="C23" s="23" t="s">
        <v>112</v>
      </c>
      <c r="D23" s="9" t="s">
        <v>44</v>
      </c>
      <c r="E23" s="9" t="s">
        <v>68</v>
      </c>
      <c r="F23" s="18" t="s">
        <v>39</v>
      </c>
      <c r="G23" s="19" t="n">
        <v>10708.75</v>
      </c>
      <c r="H23" s="18" t="s">
        <v>65</v>
      </c>
      <c r="I23" s="19" t="n">
        <v>17.25</v>
      </c>
      <c r="J23" s="19" t="n">
        <v>0</v>
      </c>
      <c r="K23" s="19" t="n">
        <v>0</v>
      </c>
      <c r="L23" s="19" t="n">
        <f aca="false">G23*I23-J23+K23</f>
        <v>184725.9375</v>
      </c>
    </row>
    <row r="24" customFormat="false" ht="18.75" hidden="false" customHeight="true" outlineLevel="0" collapsed="false">
      <c r="A24" s="20" t="n">
        <v>20</v>
      </c>
      <c r="B24" s="21" t="s">
        <v>111</v>
      </c>
      <c r="C24" s="24" t="s">
        <v>112</v>
      </c>
      <c r="D24" s="13" t="s">
        <v>44</v>
      </c>
      <c r="E24" s="13" t="s">
        <v>72</v>
      </c>
      <c r="F24" s="21" t="s">
        <v>39</v>
      </c>
      <c r="G24" s="22" t="n">
        <v>285.5</v>
      </c>
      <c r="H24" s="21" t="s">
        <v>73</v>
      </c>
      <c r="I24" s="22" t="n">
        <v>24</v>
      </c>
      <c r="J24" s="22" t="n">
        <v>0</v>
      </c>
      <c r="K24" s="22" t="n">
        <v>0</v>
      </c>
      <c r="L24" s="22" t="n">
        <f aca="false">G24*I24-J24+K24</f>
        <v>6852</v>
      </c>
    </row>
    <row r="25" customFormat="false" ht="18.75" hidden="false" customHeight="true" outlineLevel="0" collapsed="false">
      <c r="A25" s="17" t="n">
        <v>21</v>
      </c>
      <c r="B25" s="18" t="s">
        <v>113</v>
      </c>
      <c r="C25" s="23" t="s">
        <v>114</v>
      </c>
      <c r="D25" s="9" t="s">
        <v>48</v>
      </c>
      <c r="E25" s="9" t="s">
        <v>70</v>
      </c>
      <c r="F25" s="18" t="s">
        <v>39</v>
      </c>
      <c r="G25" s="19" t="n">
        <v>4</v>
      </c>
      <c r="H25" s="18" t="s">
        <v>67</v>
      </c>
      <c r="I25" s="19" t="n">
        <v>22000</v>
      </c>
      <c r="J25" s="19" t="n">
        <v>0</v>
      </c>
      <c r="K25" s="19" t="n">
        <v>0</v>
      </c>
      <c r="L25" s="19" t="n">
        <f aca="false">G25*I25-J25+K25</f>
        <v>88000</v>
      </c>
    </row>
    <row r="26" customFormat="false" ht="18.75" hidden="false" customHeight="true" outlineLevel="0" collapsed="false">
      <c r="A26" s="20" t="n">
        <v>22</v>
      </c>
      <c r="B26" s="21" t="s">
        <v>115</v>
      </c>
      <c r="C26" s="24" t="s">
        <v>114</v>
      </c>
      <c r="D26" s="13" t="s">
        <v>116</v>
      </c>
      <c r="E26" s="13" t="s">
        <v>70</v>
      </c>
      <c r="F26" s="21" t="s">
        <v>39</v>
      </c>
      <c r="G26" s="22" t="n">
        <v>4</v>
      </c>
      <c r="H26" s="21" t="s">
        <v>67</v>
      </c>
      <c r="I26" s="22" t="n">
        <v>25000</v>
      </c>
      <c r="J26" s="22" t="n">
        <v>0</v>
      </c>
      <c r="K26" s="22" t="n">
        <v>0</v>
      </c>
      <c r="L26" s="22" t="n">
        <f aca="false">G26*I26-J26+K26</f>
        <v>100000</v>
      </c>
    </row>
    <row r="27" customFormat="false" ht="18.75" hidden="false" customHeight="true" outlineLevel="0" collapsed="false">
      <c r="A27" s="17" t="n">
        <v>23</v>
      </c>
      <c r="B27" s="18" t="s">
        <v>117</v>
      </c>
      <c r="C27" s="23" t="s">
        <v>114</v>
      </c>
      <c r="D27" s="9" t="s">
        <v>118</v>
      </c>
      <c r="E27" s="9" t="s">
        <v>70</v>
      </c>
      <c r="F27" s="18" t="s">
        <v>39</v>
      </c>
      <c r="G27" s="19" t="n">
        <v>4</v>
      </c>
      <c r="H27" s="18" t="s">
        <v>67</v>
      </c>
      <c r="I27" s="19" t="n">
        <v>25000</v>
      </c>
      <c r="J27" s="19" t="n">
        <v>0</v>
      </c>
      <c r="K27" s="19" t="n">
        <v>0</v>
      </c>
      <c r="L27" s="19" t="n">
        <f aca="false">G27*I27-J27+K27</f>
        <v>100000</v>
      </c>
    </row>
    <row r="28" customFormat="false" ht="18.75" hidden="false" customHeight="true" outlineLevel="0" collapsed="false">
      <c r="A28" s="20" t="n">
        <v>24</v>
      </c>
      <c r="B28" s="21" t="s">
        <v>119</v>
      </c>
      <c r="C28" s="24" t="s">
        <v>120</v>
      </c>
      <c r="D28" s="13" t="s">
        <v>121</v>
      </c>
      <c r="E28" s="13" t="s">
        <v>450</v>
      </c>
      <c r="F28" s="21" t="s">
        <v>39</v>
      </c>
      <c r="G28" s="22" t="n">
        <v>2</v>
      </c>
      <c r="H28" s="21" t="s">
        <v>67</v>
      </c>
      <c r="I28" s="22" t="n">
        <v>18500</v>
      </c>
      <c r="J28" s="22" t="n">
        <v>0</v>
      </c>
      <c r="K28" s="22" t="n">
        <v>0</v>
      </c>
      <c r="L28" s="22" t="n">
        <f aca="false">G28*I28-J28+K28</f>
        <v>37000</v>
      </c>
    </row>
    <row r="29" customFormat="false" ht="18.75" hidden="false" customHeight="true" outlineLevel="0" collapsed="false">
      <c r="A29" s="17" t="n">
        <v>25</v>
      </c>
      <c r="B29" s="18" t="s">
        <v>122</v>
      </c>
      <c r="C29" s="23" t="s">
        <v>123</v>
      </c>
      <c r="D29" s="9" t="s">
        <v>124</v>
      </c>
      <c r="E29" s="9" t="s">
        <v>455</v>
      </c>
      <c r="F29" s="18" t="s">
        <v>39</v>
      </c>
      <c r="G29" s="19" t="n">
        <v>4</v>
      </c>
      <c r="H29" s="18" t="s">
        <v>67</v>
      </c>
      <c r="I29" s="19" t="n">
        <v>21000</v>
      </c>
      <c r="J29" s="19" t="n">
        <v>0</v>
      </c>
      <c r="K29" s="19" t="n">
        <v>0</v>
      </c>
      <c r="L29" s="19" t="n">
        <f aca="false">G29*I29-J29+K29</f>
        <v>84000</v>
      </c>
    </row>
    <row r="30" customFormat="false" ht="18.75" hidden="false" customHeight="true" outlineLevel="0" collapsed="false">
      <c r="A30" s="20" t="n">
        <v>26</v>
      </c>
      <c r="B30" s="21" t="s">
        <v>125</v>
      </c>
      <c r="C30" s="24" t="s">
        <v>126</v>
      </c>
      <c r="D30" s="13" t="s">
        <v>44</v>
      </c>
      <c r="E30" s="13" t="s">
        <v>68</v>
      </c>
      <c r="F30" s="21" t="s">
        <v>39</v>
      </c>
      <c r="G30" s="22" t="n">
        <v>2339.75</v>
      </c>
      <c r="H30" s="21" t="s">
        <v>65</v>
      </c>
      <c r="I30" s="22" t="n">
        <v>17.5</v>
      </c>
      <c r="J30" s="22" t="n">
        <v>0</v>
      </c>
      <c r="K30" s="22" t="n">
        <v>0</v>
      </c>
      <c r="L30" s="22" t="n">
        <f aca="false">G30*I30-J30+K30</f>
        <v>40945.625</v>
      </c>
    </row>
    <row r="31" customFormat="false" ht="18.75" hidden="false" customHeight="true" outlineLevel="0" collapsed="false">
      <c r="A31" s="17" t="n">
        <v>27</v>
      </c>
      <c r="B31" s="18" t="s">
        <v>127</v>
      </c>
      <c r="C31" s="23" t="s">
        <v>128</v>
      </c>
      <c r="D31" s="9" t="s">
        <v>44</v>
      </c>
      <c r="E31" s="9" t="s">
        <v>76</v>
      </c>
      <c r="F31" s="18" t="s">
        <v>39</v>
      </c>
      <c r="G31" s="19" t="n">
        <v>20</v>
      </c>
      <c r="H31" s="18" t="s">
        <v>67</v>
      </c>
      <c r="I31" s="19" t="n">
        <v>195</v>
      </c>
      <c r="J31" s="19" t="n">
        <v>0</v>
      </c>
      <c r="K31" s="19" t="n">
        <v>0</v>
      </c>
      <c r="L31" s="19" t="n">
        <f aca="false">G31*I31-J31+K31</f>
        <v>3900</v>
      </c>
    </row>
    <row r="32" customFormat="false" ht="18.75" hidden="false" customHeight="true" outlineLevel="0" collapsed="false">
      <c r="A32" s="20" t="n">
        <v>28</v>
      </c>
      <c r="B32" s="21" t="s">
        <v>127</v>
      </c>
      <c r="C32" s="24" t="s">
        <v>128</v>
      </c>
      <c r="D32" s="13" t="s">
        <v>44</v>
      </c>
      <c r="E32" s="13" t="s">
        <v>68</v>
      </c>
      <c r="F32" s="21" t="s">
        <v>39</v>
      </c>
      <c r="G32" s="22" t="n">
        <v>610.5</v>
      </c>
      <c r="H32" s="21" t="s">
        <v>65</v>
      </c>
      <c r="I32" s="22" t="n">
        <v>17.5</v>
      </c>
      <c r="J32" s="22" t="n">
        <v>0</v>
      </c>
      <c r="K32" s="22" t="n">
        <v>0</v>
      </c>
      <c r="L32" s="22" t="n">
        <f aca="false">G32*I32-J32+K32</f>
        <v>10683.75</v>
      </c>
    </row>
    <row r="33" customFormat="false" ht="18.75" hidden="false" customHeight="true" outlineLevel="0" collapsed="false">
      <c r="A33" s="17" t="n">
        <v>29</v>
      </c>
      <c r="B33" s="18" t="s">
        <v>127</v>
      </c>
      <c r="C33" s="23" t="s">
        <v>128</v>
      </c>
      <c r="D33" s="9" t="s">
        <v>44</v>
      </c>
      <c r="E33" s="9" t="s">
        <v>456</v>
      </c>
      <c r="F33" s="18" t="s">
        <v>39</v>
      </c>
      <c r="G33" s="19" t="n">
        <v>167.4</v>
      </c>
      <c r="H33" s="18" t="s">
        <v>65</v>
      </c>
      <c r="I33" s="19" t="n">
        <v>55</v>
      </c>
      <c r="J33" s="19" t="n">
        <v>0</v>
      </c>
      <c r="K33" s="19" t="n">
        <v>0</v>
      </c>
      <c r="L33" s="19" t="n">
        <f aca="false">G33*I33-J33+K33</f>
        <v>9207</v>
      </c>
    </row>
    <row r="34" customFormat="false" ht="18.75" hidden="false" customHeight="true" outlineLevel="0" collapsed="false">
      <c r="A34" s="20" t="n">
        <v>30</v>
      </c>
      <c r="B34" s="21" t="s">
        <v>129</v>
      </c>
      <c r="C34" s="24" t="s">
        <v>130</v>
      </c>
      <c r="D34" s="13" t="s">
        <v>44</v>
      </c>
      <c r="E34" s="13" t="s">
        <v>68</v>
      </c>
      <c r="F34" s="21" t="s">
        <v>39</v>
      </c>
      <c r="G34" s="22" t="n">
        <v>5993</v>
      </c>
      <c r="H34" s="21" t="s">
        <v>65</v>
      </c>
      <c r="I34" s="22" t="n">
        <v>17.5</v>
      </c>
      <c r="J34" s="22" t="n">
        <v>0</v>
      </c>
      <c r="K34" s="22" t="n">
        <v>0</v>
      </c>
      <c r="L34" s="22" t="n">
        <f aca="false">G34*I34-J34+K34</f>
        <v>104877.5</v>
      </c>
    </row>
    <row r="35" customFormat="false" ht="18.75" hidden="false" customHeight="true" outlineLevel="0" collapsed="false">
      <c r="A35" s="17" t="n">
        <v>31</v>
      </c>
      <c r="B35" s="18" t="s">
        <v>131</v>
      </c>
      <c r="C35" s="23" t="s">
        <v>132</v>
      </c>
      <c r="D35" s="9" t="s">
        <v>44</v>
      </c>
      <c r="E35" s="9" t="s">
        <v>68</v>
      </c>
      <c r="F35" s="18" t="s">
        <v>39</v>
      </c>
      <c r="G35" s="19" t="n">
        <v>4974</v>
      </c>
      <c r="H35" s="18" t="s">
        <v>65</v>
      </c>
      <c r="I35" s="19" t="n">
        <v>17.5</v>
      </c>
      <c r="J35" s="19" t="n">
        <v>0</v>
      </c>
      <c r="K35" s="19" t="n">
        <v>0</v>
      </c>
      <c r="L35" s="19" t="n">
        <f aca="false">G35*I35-J35+K35</f>
        <v>87045</v>
      </c>
    </row>
    <row r="36" customFormat="false" ht="18.75" hidden="false" customHeight="true" outlineLevel="0" collapsed="false">
      <c r="A36" s="20" t="n">
        <v>32</v>
      </c>
      <c r="B36" s="21" t="s">
        <v>133</v>
      </c>
      <c r="C36" s="24" t="s">
        <v>134</v>
      </c>
      <c r="D36" s="13" t="s">
        <v>44</v>
      </c>
      <c r="E36" s="13" t="s">
        <v>68</v>
      </c>
      <c r="F36" s="21" t="s">
        <v>39</v>
      </c>
      <c r="G36" s="22" t="n">
        <v>1795.25</v>
      </c>
      <c r="H36" s="21" t="s">
        <v>65</v>
      </c>
      <c r="I36" s="22" t="n">
        <v>17.5</v>
      </c>
      <c r="J36" s="22" t="n">
        <v>0</v>
      </c>
      <c r="K36" s="22" t="n">
        <v>0</v>
      </c>
      <c r="L36" s="22" t="n">
        <f aca="false">G36*I36-J36+K36</f>
        <v>31416.875</v>
      </c>
    </row>
    <row r="37" customFormat="false" ht="18.75" hidden="false" customHeight="true" outlineLevel="0" collapsed="false">
      <c r="A37" s="17" t="n">
        <v>33</v>
      </c>
      <c r="B37" s="18" t="s">
        <v>133</v>
      </c>
      <c r="C37" s="23" t="s">
        <v>134</v>
      </c>
      <c r="D37" s="9" t="s">
        <v>44</v>
      </c>
      <c r="E37" s="9" t="s">
        <v>457</v>
      </c>
      <c r="F37" s="18" t="s">
        <v>39</v>
      </c>
      <c r="G37" s="19" t="n">
        <v>1</v>
      </c>
      <c r="H37" s="18" t="s">
        <v>67</v>
      </c>
      <c r="I37" s="19" t="n">
        <v>4100</v>
      </c>
      <c r="J37" s="19" t="n">
        <v>0</v>
      </c>
      <c r="K37" s="19" t="n">
        <v>0</v>
      </c>
      <c r="L37" s="19" t="n">
        <f aca="false">G37*I37-J37+K37</f>
        <v>4100</v>
      </c>
    </row>
    <row r="38" customFormat="false" ht="18.75" hidden="false" customHeight="true" outlineLevel="0" collapsed="false">
      <c r="A38" s="20" t="n">
        <v>34</v>
      </c>
      <c r="B38" s="21" t="s">
        <v>135</v>
      </c>
      <c r="C38" s="24" t="s">
        <v>136</v>
      </c>
      <c r="D38" s="13" t="s">
        <v>44</v>
      </c>
      <c r="E38" s="13" t="s">
        <v>68</v>
      </c>
      <c r="F38" s="21" t="s">
        <v>39</v>
      </c>
      <c r="G38" s="22" t="n">
        <v>2701.75</v>
      </c>
      <c r="H38" s="21" t="s">
        <v>65</v>
      </c>
      <c r="I38" s="22" t="n">
        <v>17.5</v>
      </c>
      <c r="J38" s="22" t="n">
        <v>0</v>
      </c>
      <c r="K38" s="22" t="n">
        <v>0</v>
      </c>
      <c r="L38" s="22" t="n">
        <f aca="false">G38*I38-J38+K38</f>
        <v>47280.625</v>
      </c>
    </row>
    <row r="39" customFormat="false" ht="18.75" hidden="false" customHeight="true" outlineLevel="0" collapsed="false">
      <c r="A39" s="17" t="n">
        <v>35</v>
      </c>
      <c r="B39" s="18" t="s">
        <v>135</v>
      </c>
      <c r="C39" s="23" t="s">
        <v>136</v>
      </c>
      <c r="D39" s="9" t="s">
        <v>44</v>
      </c>
      <c r="E39" s="9" t="s">
        <v>72</v>
      </c>
      <c r="F39" s="18" t="s">
        <v>39</v>
      </c>
      <c r="G39" s="19" t="n">
        <v>640</v>
      </c>
      <c r="H39" s="18" t="s">
        <v>73</v>
      </c>
      <c r="I39" s="19" t="n">
        <v>23</v>
      </c>
      <c r="J39" s="19" t="n">
        <v>0</v>
      </c>
      <c r="K39" s="19" t="n">
        <v>0</v>
      </c>
      <c r="L39" s="19" t="n">
        <f aca="false">G39*I39-J39+K39</f>
        <v>14720</v>
      </c>
    </row>
    <row r="40" customFormat="false" ht="18.75" hidden="false" customHeight="true" outlineLevel="0" collapsed="false">
      <c r="A40" s="20" t="n">
        <v>36</v>
      </c>
      <c r="B40" s="21" t="s">
        <v>137</v>
      </c>
      <c r="C40" s="24" t="s">
        <v>138</v>
      </c>
      <c r="D40" s="13" t="s">
        <v>44</v>
      </c>
      <c r="E40" s="13" t="s">
        <v>68</v>
      </c>
      <c r="F40" s="21" t="s">
        <v>39</v>
      </c>
      <c r="G40" s="22" t="n">
        <v>2781.25</v>
      </c>
      <c r="H40" s="21" t="s">
        <v>65</v>
      </c>
      <c r="I40" s="22" t="n">
        <v>17.5</v>
      </c>
      <c r="J40" s="22" t="n">
        <v>0</v>
      </c>
      <c r="K40" s="22" t="n">
        <v>0</v>
      </c>
      <c r="L40" s="22" t="n">
        <f aca="false">G40*I40-J40+K40</f>
        <v>48671.875</v>
      </c>
    </row>
    <row r="41" customFormat="false" ht="18.75" hidden="false" customHeight="true" outlineLevel="0" collapsed="false">
      <c r="A41" s="17" t="n">
        <v>37</v>
      </c>
      <c r="B41" s="18" t="s">
        <v>139</v>
      </c>
      <c r="C41" s="23" t="s">
        <v>140</v>
      </c>
      <c r="D41" s="9" t="s">
        <v>44</v>
      </c>
      <c r="E41" s="9" t="s">
        <v>68</v>
      </c>
      <c r="F41" s="18" t="s">
        <v>39</v>
      </c>
      <c r="G41" s="19" t="n">
        <v>3594.5</v>
      </c>
      <c r="H41" s="18" t="s">
        <v>65</v>
      </c>
      <c r="I41" s="19" t="n">
        <v>17.5</v>
      </c>
      <c r="J41" s="19" t="n">
        <v>0</v>
      </c>
      <c r="K41" s="19" t="n">
        <v>0</v>
      </c>
      <c r="L41" s="19" t="n">
        <f aca="false">G41*I41-J41+K41</f>
        <v>62903.75</v>
      </c>
    </row>
    <row r="42" customFormat="false" ht="18.75" hidden="false" customHeight="true" outlineLevel="0" collapsed="false">
      <c r="A42" s="20" t="n">
        <v>38</v>
      </c>
      <c r="B42" s="21" t="s">
        <v>139</v>
      </c>
      <c r="C42" s="24" t="s">
        <v>140</v>
      </c>
      <c r="D42" s="13" t="s">
        <v>44</v>
      </c>
      <c r="E42" s="13" t="s">
        <v>458</v>
      </c>
      <c r="F42" s="21" t="s">
        <v>39</v>
      </c>
      <c r="G42" s="22" t="n">
        <v>4</v>
      </c>
      <c r="H42" s="21" t="s">
        <v>67</v>
      </c>
      <c r="I42" s="22" t="n">
        <v>1700</v>
      </c>
      <c r="J42" s="22" t="n">
        <v>0</v>
      </c>
      <c r="K42" s="22" t="n">
        <v>0</v>
      </c>
      <c r="L42" s="22" t="n">
        <f aca="false">G42*I42-J42+K42</f>
        <v>6800</v>
      </c>
    </row>
    <row r="43" customFormat="false" ht="18.75" hidden="false" customHeight="true" outlineLevel="0" collapsed="false">
      <c r="A43" s="17" t="n">
        <v>39</v>
      </c>
      <c r="B43" s="18" t="s">
        <v>141</v>
      </c>
      <c r="C43" s="23" t="s">
        <v>142</v>
      </c>
      <c r="D43" s="9" t="s">
        <v>44</v>
      </c>
      <c r="E43" s="9" t="s">
        <v>68</v>
      </c>
      <c r="F43" s="18" t="s">
        <v>39</v>
      </c>
      <c r="G43" s="19" t="n">
        <v>1849.75</v>
      </c>
      <c r="H43" s="18" t="s">
        <v>65</v>
      </c>
      <c r="I43" s="19" t="n">
        <v>17.5</v>
      </c>
      <c r="J43" s="19" t="n">
        <v>0</v>
      </c>
      <c r="K43" s="19" t="n">
        <v>0</v>
      </c>
      <c r="L43" s="19" t="n">
        <f aca="false">G43*I43-J43+K43</f>
        <v>32370.625</v>
      </c>
    </row>
    <row r="44" customFormat="false" ht="18.75" hidden="false" customHeight="true" outlineLevel="0" collapsed="false">
      <c r="A44" s="20" t="n">
        <v>40</v>
      </c>
      <c r="B44" s="21" t="s">
        <v>143</v>
      </c>
      <c r="C44" s="24" t="s">
        <v>144</v>
      </c>
      <c r="D44" s="13" t="s">
        <v>44</v>
      </c>
      <c r="E44" s="13" t="s">
        <v>68</v>
      </c>
      <c r="F44" s="21" t="s">
        <v>39</v>
      </c>
      <c r="G44" s="22" t="n">
        <v>764.25</v>
      </c>
      <c r="H44" s="21" t="s">
        <v>65</v>
      </c>
      <c r="I44" s="22" t="n">
        <v>17</v>
      </c>
      <c r="J44" s="22" t="n">
        <v>0</v>
      </c>
      <c r="K44" s="22" t="n">
        <v>0</v>
      </c>
      <c r="L44" s="22" t="n">
        <f aca="false">G44*I44-J44+K44</f>
        <v>12992.25</v>
      </c>
    </row>
    <row r="45" customFormat="false" ht="18.75" hidden="false" customHeight="true" outlineLevel="0" collapsed="false">
      <c r="A45" s="17" t="n">
        <v>41</v>
      </c>
      <c r="B45" s="18" t="s">
        <v>145</v>
      </c>
      <c r="C45" s="23" t="s">
        <v>146</v>
      </c>
      <c r="D45" s="9" t="s">
        <v>44</v>
      </c>
      <c r="E45" s="9" t="s">
        <v>68</v>
      </c>
      <c r="F45" s="18" t="s">
        <v>39</v>
      </c>
      <c r="G45" s="19" t="n">
        <v>2332.75</v>
      </c>
      <c r="H45" s="18" t="s">
        <v>65</v>
      </c>
      <c r="I45" s="19" t="n">
        <v>17</v>
      </c>
      <c r="J45" s="19" t="n">
        <v>0</v>
      </c>
      <c r="K45" s="19" t="n">
        <v>0</v>
      </c>
      <c r="L45" s="19" t="n">
        <f aca="false">G45*I45-J45+K45</f>
        <v>39656.75</v>
      </c>
    </row>
    <row r="46" customFormat="false" ht="18.75" hidden="false" customHeight="true" outlineLevel="0" collapsed="false">
      <c r="A46" s="20" t="n">
        <v>42</v>
      </c>
      <c r="B46" s="21" t="s">
        <v>148</v>
      </c>
      <c r="C46" s="24" t="s">
        <v>149</v>
      </c>
      <c r="D46" s="13" t="s">
        <v>44</v>
      </c>
      <c r="E46" s="13" t="s">
        <v>68</v>
      </c>
      <c r="F46" s="21" t="s">
        <v>39</v>
      </c>
      <c r="G46" s="22" t="n">
        <v>2263.25</v>
      </c>
      <c r="H46" s="21" t="s">
        <v>65</v>
      </c>
      <c r="I46" s="22" t="n">
        <v>17</v>
      </c>
      <c r="J46" s="22" t="n">
        <v>0</v>
      </c>
      <c r="K46" s="22" t="n">
        <v>0</v>
      </c>
      <c r="L46" s="22" t="n">
        <f aca="false">G46*I46-J46+K46</f>
        <v>38475.25</v>
      </c>
    </row>
    <row r="47" customFormat="false" ht="18.75" hidden="false" customHeight="true" outlineLevel="0" collapsed="false">
      <c r="A47" s="17" t="n">
        <v>43</v>
      </c>
      <c r="B47" s="18" t="s">
        <v>150</v>
      </c>
      <c r="C47" s="23" t="s">
        <v>151</v>
      </c>
      <c r="D47" s="9" t="s">
        <v>44</v>
      </c>
      <c r="E47" s="9" t="s">
        <v>68</v>
      </c>
      <c r="F47" s="18" t="s">
        <v>39</v>
      </c>
      <c r="G47" s="19" t="n">
        <v>1841</v>
      </c>
      <c r="H47" s="18" t="s">
        <v>65</v>
      </c>
      <c r="I47" s="19" t="n">
        <v>16.5</v>
      </c>
      <c r="J47" s="19" t="n">
        <v>0</v>
      </c>
      <c r="K47" s="19" t="n">
        <v>0</v>
      </c>
      <c r="L47" s="19" t="n">
        <f aca="false">G47*I47-J47+K47</f>
        <v>30376.5</v>
      </c>
    </row>
    <row r="48" customFormat="false" ht="18.75" hidden="false" customHeight="true" outlineLevel="0" collapsed="false">
      <c r="A48" s="20" t="n">
        <v>44</v>
      </c>
      <c r="B48" s="21" t="s">
        <v>150</v>
      </c>
      <c r="C48" s="24" t="s">
        <v>151</v>
      </c>
      <c r="D48" s="13" t="s">
        <v>44</v>
      </c>
      <c r="E48" s="13" t="s">
        <v>451</v>
      </c>
      <c r="F48" s="21" t="s">
        <v>39</v>
      </c>
      <c r="G48" s="22" t="n">
        <v>1</v>
      </c>
      <c r="H48" s="21"/>
      <c r="I48" s="22" t="n">
        <v>1000</v>
      </c>
      <c r="J48" s="22" t="n">
        <v>0</v>
      </c>
      <c r="K48" s="22" t="n">
        <v>0</v>
      </c>
      <c r="L48" s="22" t="n">
        <f aca="false">G48*I48-J48+K48</f>
        <v>1000</v>
      </c>
    </row>
    <row r="49" customFormat="false" ht="18.75" hidden="false" customHeight="true" outlineLevel="0" collapsed="false">
      <c r="A49" s="17" t="n">
        <v>45</v>
      </c>
      <c r="B49" s="18" t="s">
        <v>152</v>
      </c>
      <c r="C49" s="23" t="s">
        <v>153</v>
      </c>
      <c r="D49" s="9" t="s">
        <v>40</v>
      </c>
      <c r="E49" s="9" t="s">
        <v>68</v>
      </c>
      <c r="F49" s="18" t="s">
        <v>39</v>
      </c>
      <c r="G49" s="19" t="n">
        <v>13374.25</v>
      </c>
      <c r="H49" s="18" t="s">
        <v>65</v>
      </c>
      <c r="I49" s="19" t="n">
        <v>16</v>
      </c>
      <c r="J49" s="19" t="n">
        <v>0</v>
      </c>
      <c r="K49" s="19" t="n">
        <v>0</v>
      </c>
      <c r="L49" s="19" t="n">
        <f aca="false">G49*I49-J49+K49</f>
        <v>213988</v>
      </c>
    </row>
    <row r="50" customFormat="false" ht="18.75" hidden="false" customHeight="true" outlineLevel="0" collapsed="false">
      <c r="A50" s="20" t="n">
        <v>46</v>
      </c>
      <c r="B50" s="21" t="s">
        <v>154</v>
      </c>
      <c r="C50" s="24" t="s">
        <v>155</v>
      </c>
      <c r="D50" s="13" t="s">
        <v>40</v>
      </c>
      <c r="E50" s="13" t="s">
        <v>68</v>
      </c>
      <c r="F50" s="21" t="s">
        <v>39</v>
      </c>
      <c r="G50" s="22" t="n">
        <v>4595.25</v>
      </c>
      <c r="H50" s="21" t="s">
        <v>65</v>
      </c>
      <c r="I50" s="22" t="n">
        <v>16</v>
      </c>
      <c r="J50" s="22" t="n">
        <v>0</v>
      </c>
      <c r="K50" s="22" t="n">
        <v>0</v>
      </c>
      <c r="L50" s="22" t="n">
        <f aca="false">G50*I50-J50+K50</f>
        <v>73524</v>
      </c>
    </row>
    <row r="51" customFormat="false" ht="18.75" hidden="false" customHeight="true" outlineLevel="0" collapsed="false">
      <c r="A51" s="17" t="n">
        <v>47</v>
      </c>
      <c r="B51" s="18" t="s">
        <v>156</v>
      </c>
      <c r="C51" s="23" t="s">
        <v>157</v>
      </c>
      <c r="D51" s="9" t="s">
        <v>44</v>
      </c>
      <c r="E51" s="9" t="s">
        <v>64</v>
      </c>
      <c r="F51" s="18" t="s">
        <v>39</v>
      </c>
      <c r="G51" s="19" t="n">
        <v>5912</v>
      </c>
      <c r="H51" s="18" t="s">
        <v>65</v>
      </c>
      <c r="I51" s="19" t="n">
        <v>16.25</v>
      </c>
      <c r="J51" s="19" t="n">
        <v>0</v>
      </c>
      <c r="K51" s="19" t="n">
        <v>0</v>
      </c>
      <c r="L51" s="19" t="n">
        <f aca="false">G51*I51-J51+K51</f>
        <v>96070</v>
      </c>
    </row>
    <row r="52" customFormat="false" ht="18.75" hidden="false" customHeight="true" outlineLevel="0" collapsed="false">
      <c r="A52" s="20" t="n">
        <v>48</v>
      </c>
      <c r="B52" s="21" t="s">
        <v>156</v>
      </c>
      <c r="C52" s="24" t="s">
        <v>157</v>
      </c>
      <c r="D52" s="13" t="s">
        <v>44</v>
      </c>
      <c r="E52" s="13" t="s">
        <v>452</v>
      </c>
      <c r="F52" s="21" t="s">
        <v>39</v>
      </c>
      <c r="G52" s="22" t="n">
        <v>4</v>
      </c>
      <c r="H52" s="21" t="s">
        <v>67</v>
      </c>
      <c r="I52" s="22" t="n">
        <v>1125</v>
      </c>
      <c r="J52" s="22" t="n">
        <v>0</v>
      </c>
      <c r="K52" s="22" t="n">
        <v>0</v>
      </c>
      <c r="L52" s="22" t="n">
        <f aca="false">G52*I52-J52+K52</f>
        <v>4500</v>
      </c>
    </row>
    <row r="53" customFormat="false" ht="18.75" hidden="false" customHeight="true" outlineLevel="0" collapsed="false">
      <c r="A53" s="17" t="n">
        <v>49</v>
      </c>
      <c r="B53" s="18" t="s">
        <v>156</v>
      </c>
      <c r="C53" s="23" t="s">
        <v>157</v>
      </c>
      <c r="D53" s="9" t="s">
        <v>44</v>
      </c>
      <c r="E53" s="9" t="s">
        <v>453</v>
      </c>
      <c r="F53" s="18" t="s">
        <v>39</v>
      </c>
      <c r="G53" s="19" t="n">
        <v>1</v>
      </c>
      <c r="H53" s="18"/>
      <c r="I53" s="19" t="n">
        <v>1700</v>
      </c>
      <c r="J53" s="19" t="n">
        <v>0</v>
      </c>
      <c r="K53" s="19" t="n">
        <v>0</v>
      </c>
      <c r="L53" s="19" t="n">
        <f aca="false">G53*I53-J53+K53</f>
        <v>1700</v>
      </c>
    </row>
    <row r="54" customFormat="false" ht="18.75" hidden="false" customHeight="true" outlineLevel="0" collapsed="false">
      <c r="A54" s="20" t="n">
        <v>50</v>
      </c>
      <c r="B54" s="21" t="s">
        <v>156</v>
      </c>
      <c r="C54" s="24" t="s">
        <v>157</v>
      </c>
      <c r="D54" s="13" t="s">
        <v>44</v>
      </c>
      <c r="E54" s="13" t="s">
        <v>459</v>
      </c>
      <c r="F54" s="21" t="s">
        <v>39</v>
      </c>
      <c r="G54" s="22" t="n">
        <v>499</v>
      </c>
      <c r="H54" s="21" t="s">
        <v>65</v>
      </c>
      <c r="I54" s="22" t="n">
        <v>12.5</v>
      </c>
      <c r="J54" s="22" t="n">
        <v>0</v>
      </c>
      <c r="K54" s="22" t="n">
        <v>0</v>
      </c>
      <c r="L54" s="22" t="n">
        <f aca="false">G54*I54-J54+K54</f>
        <v>6237.5</v>
      </c>
    </row>
    <row r="55" customFormat="false" ht="18.75" hidden="false" customHeight="true" outlineLevel="0" collapsed="false">
      <c r="A55" s="17" t="n">
        <v>51</v>
      </c>
      <c r="B55" s="18" t="s">
        <v>158</v>
      </c>
      <c r="C55" s="23" t="s">
        <v>159</v>
      </c>
      <c r="D55" s="9" t="s">
        <v>44</v>
      </c>
      <c r="E55" s="9" t="s">
        <v>456</v>
      </c>
      <c r="F55" s="18" t="s">
        <v>39</v>
      </c>
      <c r="G55" s="19" t="n">
        <v>185.7</v>
      </c>
      <c r="H55" s="18" t="s">
        <v>65</v>
      </c>
      <c r="I55" s="19" t="n">
        <v>55</v>
      </c>
      <c r="J55" s="19" t="n">
        <v>0</v>
      </c>
      <c r="K55" s="19" t="n">
        <v>0</v>
      </c>
      <c r="L55" s="19" t="n">
        <f aca="false">G55*I55-J55+K55</f>
        <v>10213.5</v>
      </c>
    </row>
    <row r="56" customFormat="false" ht="18.75" hidden="false" customHeight="true" outlineLevel="0" collapsed="false">
      <c r="A56" s="20" t="n">
        <v>52</v>
      </c>
      <c r="B56" s="21" t="s">
        <v>158</v>
      </c>
      <c r="C56" s="24" t="s">
        <v>159</v>
      </c>
      <c r="D56" s="13" t="s">
        <v>44</v>
      </c>
      <c r="E56" s="13" t="s">
        <v>64</v>
      </c>
      <c r="F56" s="21" t="s">
        <v>39</v>
      </c>
      <c r="G56" s="22" t="n">
        <v>4980.75</v>
      </c>
      <c r="H56" s="21" t="s">
        <v>65</v>
      </c>
      <c r="I56" s="22" t="n">
        <v>16.25</v>
      </c>
      <c r="J56" s="22" t="n">
        <v>0</v>
      </c>
      <c r="K56" s="22" t="n">
        <v>0</v>
      </c>
      <c r="L56" s="22" t="n">
        <f aca="false">G56*I56-J56+K56</f>
        <v>80937.1875</v>
      </c>
    </row>
    <row r="57" customFormat="false" ht="18.75" hidden="false" customHeight="true" outlineLevel="0" collapsed="false">
      <c r="A57" s="17" t="n">
        <v>53</v>
      </c>
      <c r="B57" s="18" t="s">
        <v>160</v>
      </c>
      <c r="C57" s="23" t="s">
        <v>161</v>
      </c>
      <c r="D57" s="9" t="s">
        <v>44</v>
      </c>
      <c r="E57" s="9" t="s">
        <v>64</v>
      </c>
      <c r="F57" s="18" t="s">
        <v>39</v>
      </c>
      <c r="G57" s="19" t="n">
        <v>1588.5</v>
      </c>
      <c r="H57" s="18" t="s">
        <v>65</v>
      </c>
      <c r="I57" s="19" t="n">
        <v>16</v>
      </c>
      <c r="J57" s="19" t="n">
        <v>0</v>
      </c>
      <c r="K57" s="19" t="n">
        <v>0</v>
      </c>
      <c r="L57" s="19" t="n">
        <f aca="false">G57*I57-J57+K57</f>
        <v>25416</v>
      </c>
    </row>
    <row r="58" customFormat="false" ht="18.75" hidden="false" customHeight="true" outlineLevel="0" collapsed="false">
      <c r="A58" s="20" t="n">
        <v>54</v>
      </c>
      <c r="B58" s="21" t="s">
        <v>160</v>
      </c>
      <c r="C58" s="24" t="s">
        <v>161</v>
      </c>
      <c r="D58" s="13" t="s">
        <v>44</v>
      </c>
      <c r="E58" s="13" t="s">
        <v>452</v>
      </c>
      <c r="F58" s="21" t="s">
        <v>39</v>
      </c>
      <c r="G58" s="22" t="n">
        <v>10</v>
      </c>
      <c r="H58" s="21" t="s">
        <v>67</v>
      </c>
      <c r="I58" s="22" t="n">
        <v>1150</v>
      </c>
      <c r="J58" s="22" t="n">
        <v>0</v>
      </c>
      <c r="K58" s="22" t="n">
        <v>0</v>
      </c>
      <c r="L58" s="22" t="n">
        <f aca="false">G58*I58-J58+K58</f>
        <v>11500</v>
      </c>
    </row>
    <row r="59" customFormat="false" ht="18.75" hidden="false" customHeight="true" outlineLevel="0" collapsed="false">
      <c r="A59" s="17" t="n">
        <v>55</v>
      </c>
      <c r="B59" s="18" t="s">
        <v>160</v>
      </c>
      <c r="C59" s="23" t="s">
        <v>161</v>
      </c>
      <c r="D59" s="9" t="s">
        <v>44</v>
      </c>
      <c r="E59" s="9" t="s">
        <v>453</v>
      </c>
      <c r="F59" s="18" t="s">
        <v>39</v>
      </c>
      <c r="G59" s="19" t="n">
        <v>5</v>
      </c>
      <c r="H59" s="18"/>
      <c r="I59" s="19" t="n">
        <v>1700</v>
      </c>
      <c r="J59" s="19" t="n">
        <v>0</v>
      </c>
      <c r="K59" s="19" t="n">
        <v>0</v>
      </c>
      <c r="L59" s="19" t="n">
        <f aca="false">G59*I59-J59+K59</f>
        <v>8500</v>
      </c>
    </row>
    <row r="60" customFormat="false" ht="18.75" hidden="false" customHeight="true" outlineLevel="0" collapsed="false">
      <c r="A60" s="20" t="n">
        <v>56</v>
      </c>
      <c r="B60" s="21" t="s">
        <v>162</v>
      </c>
      <c r="C60" s="24" t="s">
        <v>163</v>
      </c>
      <c r="D60" s="13" t="s">
        <v>52</v>
      </c>
      <c r="E60" s="13" t="s">
        <v>68</v>
      </c>
      <c r="F60" s="21" t="s">
        <v>39</v>
      </c>
      <c r="G60" s="22" t="n">
        <v>600</v>
      </c>
      <c r="H60" s="21" t="s">
        <v>65</v>
      </c>
      <c r="I60" s="22" t="n">
        <v>17.5</v>
      </c>
      <c r="J60" s="22" t="n">
        <v>0</v>
      </c>
      <c r="K60" s="22" t="n">
        <v>525</v>
      </c>
      <c r="L60" s="22" t="n">
        <f aca="false">G60*I60-J60+K60</f>
        <v>11025</v>
      </c>
    </row>
    <row r="61" customFormat="false" ht="18.75" hidden="false" customHeight="true" outlineLevel="0" collapsed="false">
      <c r="A61" s="17" t="n">
        <v>57</v>
      </c>
      <c r="B61" s="18" t="s">
        <v>162</v>
      </c>
      <c r="C61" s="23" t="s">
        <v>163</v>
      </c>
      <c r="D61" s="9" t="s">
        <v>52</v>
      </c>
      <c r="E61" s="9" t="s">
        <v>460</v>
      </c>
      <c r="F61" s="18" t="s">
        <v>39</v>
      </c>
      <c r="G61" s="19" t="n">
        <v>25</v>
      </c>
      <c r="H61" s="18" t="s">
        <v>67</v>
      </c>
      <c r="I61" s="19" t="n">
        <v>2500</v>
      </c>
      <c r="J61" s="19" t="n">
        <v>0</v>
      </c>
      <c r="K61" s="19" t="n">
        <v>11250</v>
      </c>
      <c r="L61" s="19" t="n">
        <f aca="false">G61*I61-J61+K61</f>
        <v>73750</v>
      </c>
    </row>
    <row r="62" customFormat="false" ht="18.75" hidden="false" customHeight="true" outlineLevel="0" collapsed="false">
      <c r="A62" s="20" t="n">
        <v>58</v>
      </c>
      <c r="B62" s="21" t="s">
        <v>162</v>
      </c>
      <c r="C62" s="24" t="s">
        <v>163</v>
      </c>
      <c r="D62" s="13" t="s">
        <v>52</v>
      </c>
      <c r="E62" s="13" t="s">
        <v>447</v>
      </c>
      <c r="F62" s="21" t="s">
        <v>39</v>
      </c>
      <c r="G62" s="22" t="n">
        <v>7</v>
      </c>
      <c r="H62" s="21" t="s">
        <v>67</v>
      </c>
      <c r="I62" s="22" t="n">
        <v>4500</v>
      </c>
      <c r="J62" s="22" t="n">
        <v>0</v>
      </c>
      <c r="K62" s="22" t="n">
        <v>3780</v>
      </c>
      <c r="L62" s="22" t="n">
        <f aca="false">G62*I62-J62+K62</f>
        <v>35280</v>
      </c>
    </row>
    <row r="63" customFormat="false" ht="18.75" hidden="false" customHeight="true" outlineLevel="0" collapsed="false">
      <c r="A63" s="17" t="n">
        <v>59</v>
      </c>
      <c r="B63" s="18" t="s">
        <v>164</v>
      </c>
      <c r="C63" s="23" t="s">
        <v>165</v>
      </c>
      <c r="D63" s="9" t="s">
        <v>40</v>
      </c>
      <c r="E63" s="9" t="s">
        <v>64</v>
      </c>
      <c r="F63" s="18" t="s">
        <v>39</v>
      </c>
      <c r="G63" s="19" t="n">
        <v>5197</v>
      </c>
      <c r="H63" s="18" t="s">
        <v>65</v>
      </c>
      <c r="I63" s="19" t="n">
        <v>16</v>
      </c>
      <c r="J63" s="19" t="n">
        <v>0</v>
      </c>
      <c r="K63" s="19" t="n">
        <v>0</v>
      </c>
      <c r="L63" s="19" t="n">
        <f aca="false">G63*I63-J63+K63</f>
        <v>83152</v>
      </c>
    </row>
    <row r="64" customFormat="false" ht="18.75" hidden="false" customHeight="true" outlineLevel="0" collapsed="false">
      <c r="A64" s="20" t="n">
        <v>60</v>
      </c>
      <c r="B64" s="21" t="s">
        <v>166</v>
      </c>
      <c r="C64" s="24" t="s">
        <v>167</v>
      </c>
      <c r="D64" s="13" t="s">
        <v>40</v>
      </c>
      <c r="E64" s="13" t="s">
        <v>64</v>
      </c>
      <c r="F64" s="21" t="s">
        <v>39</v>
      </c>
      <c r="G64" s="22" t="n">
        <v>6214.75</v>
      </c>
      <c r="H64" s="21" t="s">
        <v>65</v>
      </c>
      <c r="I64" s="22" t="n">
        <v>16</v>
      </c>
      <c r="J64" s="22" t="n">
        <v>0</v>
      </c>
      <c r="K64" s="22" t="n">
        <v>0</v>
      </c>
      <c r="L64" s="22" t="n">
        <f aca="false">G64*I64-J64+K64</f>
        <v>99436</v>
      </c>
    </row>
    <row r="65" customFormat="false" ht="18.75" hidden="false" customHeight="true" outlineLevel="0" collapsed="false">
      <c r="A65" s="17" t="n">
        <v>61</v>
      </c>
      <c r="B65" s="18" t="s">
        <v>168</v>
      </c>
      <c r="C65" s="23" t="s">
        <v>169</v>
      </c>
      <c r="D65" s="9" t="s">
        <v>40</v>
      </c>
      <c r="E65" s="9" t="s">
        <v>64</v>
      </c>
      <c r="F65" s="18" t="s">
        <v>39</v>
      </c>
      <c r="G65" s="19" t="n">
        <v>4393</v>
      </c>
      <c r="H65" s="18" t="s">
        <v>65</v>
      </c>
      <c r="I65" s="19" t="n">
        <v>16</v>
      </c>
      <c r="J65" s="19" t="n">
        <v>0</v>
      </c>
      <c r="K65" s="19" t="n">
        <v>0</v>
      </c>
      <c r="L65" s="19" t="n">
        <f aca="false">G65*I65-J65+K65</f>
        <v>70288</v>
      </c>
    </row>
    <row r="66" customFormat="false" ht="18.75" hidden="false" customHeight="true" outlineLevel="0" collapsed="false">
      <c r="A66" s="20" t="n">
        <v>62</v>
      </c>
      <c r="B66" s="21" t="s">
        <v>170</v>
      </c>
      <c r="C66" s="24" t="s">
        <v>169</v>
      </c>
      <c r="D66" s="13" t="s">
        <v>40</v>
      </c>
      <c r="E66" s="13" t="s">
        <v>64</v>
      </c>
      <c r="F66" s="21" t="s">
        <v>39</v>
      </c>
      <c r="G66" s="22" t="n">
        <v>4277</v>
      </c>
      <c r="H66" s="21" t="s">
        <v>65</v>
      </c>
      <c r="I66" s="22" t="n">
        <v>16</v>
      </c>
      <c r="J66" s="22" t="n">
        <v>0</v>
      </c>
      <c r="K66" s="22" t="n">
        <v>0</v>
      </c>
      <c r="L66" s="22" t="n">
        <f aca="false">G66*I66-J66+K66</f>
        <v>68432</v>
      </c>
    </row>
    <row r="67" customFormat="false" ht="18.75" hidden="false" customHeight="true" outlineLevel="0" collapsed="false">
      <c r="A67" s="17" t="n">
        <v>63</v>
      </c>
      <c r="B67" s="18" t="s">
        <v>171</v>
      </c>
      <c r="C67" s="23" t="s">
        <v>172</v>
      </c>
      <c r="D67" s="9" t="s">
        <v>40</v>
      </c>
      <c r="E67" s="9" t="s">
        <v>64</v>
      </c>
      <c r="F67" s="18" t="s">
        <v>39</v>
      </c>
      <c r="G67" s="19" t="n">
        <v>5714.25</v>
      </c>
      <c r="H67" s="18" t="s">
        <v>65</v>
      </c>
      <c r="I67" s="19" t="n">
        <v>16</v>
      </c>
      <c r="J67" s="19" t="n">
        <v>0</v>
      </c>
      <c r="K67" s="19" t="n">
        <v>0</v>
      </c>
      <c r="L67" s="19" t="n">
        <f aca="false">G67*I67-J67+K67</f>
        <v>91428</v>
      </c>
    </row>
    <row r="68" customFormat="false" ht="18.75" hidden="false" customHeight="true" outlineLevel="0" collapsed="false">
      <c r="A68" s="20" t="n">
        <v>64</v>
      </c>
      <c r="B68" s="21" t="s">
        <v>173</v>
      </c>
      <c r="C68" s="24" t="s">
        <v>174</v>
      </c>
      <c r="D68" s="13" t="s">
        <v>38</v>
      </c>
      <c r="E68" s="13" t="s">
        <v>64</v>
      </c>
      <c r="F68" s="21" t="s">
        <v>39</v>
      </c>
      <c r="G68" s="22" t="n">
        <v>5631.75</v>
      </c>
      <c r="H68" s="21" t="s">
        <v>65</v>
      </c>
      <c r="I68" s="22" t="n">
        <v>16.5</v>
      </c>
      <c r="J68" s="22" t="n">
        <v>0</v>
      </c>
      <c r="K68" s="22" t="n">
        <v>0</v>
      </c>
      <c r="L68" s="22" t="n">
        <f aca="false">G68*I68-J68+K68</f>
        <v>92923.875</v>
      </c>
    </row>
    <row r="69" customFormat="false" ht="18.75" hidden="false" customHeight="true" outlineLevel="0" collapsed="false">
      <c r="A69" s="17" t="n">
        <v>65</v>
      </c>
      <c r="B69" s="18" t="s">
        <v>175</v>
      </c>
      <c r="C69" s="23" t="s">
        <v>176</v>
      </c>
      <c r="D69" s="9" t="s">
        <v>38</v>
      </c>
      <c r="E69" s="9" t="s">
        <v>449</v>
      </c>
      <c r="F69" s="18" t="s">
        <v>39</v>
      </c>
      <c r="G69" s="19" t="n">
        <v>1489.25</v>
      </c>
      <c r="H69" s="18" t="s">
        <v>73</v>
      </c>
      <c r="I69" s="19" t="n">
        <v>11</v>
      </c>
      <c r="J69" s="19" t="n">
        <v>0</v>
      </c>
      <c r="K69" s="19" t="n">
        <v>0</v>
      </c>
      <c r="L69" s="19" t="n">
        <f aca="false">G69*I69-J69+K69</f>
        <v>16381.75</v>
      </c>
    </row>
    <row r="70" customFormat="false" ht="18.75" hidden="false" customHeight="true" outlineLevel="0" collapsed="false">
      <c r="A70" s="20" t="n">
        <v>66</v>
      </c>
      <c r="B70" s="21" t="s">
        <v>175</v>
      </c>
      <c r="C70" s="24" t="s">
        <v>176</v>
      </c>
      <c r="D70" s="13" t="s">
        <v>38</v>
      </c>
      <c r="E70" s="13" t="s">
        <v>456</v>
      </c>
      <c r="F70" s="21" t="s">
        <v>39</v>
      </c>
      <c r="G70" s="22" t="n">
        <v>126.1</v>
      </c>
      <c r="H70" s="21" t="s">
        <v>65</v>
      </c>
      <c r="I70" s="22" t="n">
        <v>58</v>
      </c>
      <c r="J70" s="22" t="n">
        <v>0</v>
      </c>
      <c r="K70" s="22" t="n">
        <v>0</v>
      </c>
      <c r="L70" s="22" t="n">
        <f aca="false">G70*I70-J70+K70</f>
        <v>7313.8</v>
      </c>
    </row>
    <row r="71" customFormat="false" ht="18.75" hidden="false" customHeight="true" outlineLevel="0" collapsed="false">
      <c r="A71" s="17" t="n">
        <v>67</v>
      </c>
      <c r="B71" s="18" t="s">
        <v>175</v>
      </c>
      <c r="C71" s="23" t="s">
        <v>176</v>
      </c>
      <c r="D71" s="9" t="s">
        <v>38</v>
      </c>
      <c r="E71" s="9" t="s">
        <v>452</v>
      </c>
      <c r="F71" s="18" t="s">
        <v>39</v>
      </c>
      <c r="G71" s="19" t="n">
        <v>5</v>
      </c>
      <c r="H71" s="18" t="s">
        <v>67</v>
      </c>
      <c r="I71" s="19" t="n">
        <v>1150</v>
      </c>
      <c r="J71" s="19" t="n">
        <v>0</v>
      </c>
      <c r="K71" s="19" t="n">
        <v>0</v>
      </c>
      <c r="L71" s="19" t="n">
        <f aca="false">G71*I71-J71+K71</f>
        <v>5750</v>
      </c>
    </row>
    <row r="72" customFormat="false" ht="18.75" hidden="false" customHeight="true" outlineLevel="0" collapsed="false">
      <c r="A72" s="20" t="n">
        <v>68</v>
      </c>
      <c r="B72" s="21" t="s">
        <v>175</v>
      </c>
      <c r="C72" s="24" t="s">
        <v>176</v>
      </c>
      <c r="D72" s="13" t="s">
        <v>38</v>
      </c>
      <c r="E72" s="13" t="s">
        <v>453</v>
      </c>
      <c r="F72" s="21" t="s">
        <v>39</v>
      </c>
      <c r="G72" s="22" t="n">
        <v>3</v>
      </c>
      <c r="H72" s="21"/>
      <c r="I72" s="22" t="n">
        <v>1700</v>
      </c>
      <c r="J72" s="22" t="n">
        <v>0</v>
      </c>
      <c r="K72" s="22" t="n">
        <v>0</v>
      </c>
      <c r="L72" s="22" t="n">
        <f aca="false">G72*I72-J72+K72</f>
        <v>5100</v>
      </c>
    </row>
    <row r="73" customFormat="false" ht="18.75" hidden="false" customHeight="true" outlineLevel="0" collapsed="false">
      <c r="A73" s="17" t="n">
        <v>69</v>
      </c>
      <c r="B73" s="18" t="s">
        <v>175</v>
      </c>
      <c r="C73" s="23" t="s">
        <v>176</v>
      </c>
      <c r="D73" s="9" t="s">
        <v>38</v>
      </c>
      <c r="E73" s="9" t="s">
        <v>461</v>
      </c>
      <c r="F73" s="18" t="s">
        <v>39</v>
      </c>
      <c r="G73" s="19" t="n">
        <v>20</v>
      </c>
      <c r="H73" s="18" t="s">
        <v>67</v>
      </c>
      <c r="I73" s="19" t="n">
        <v>850</v>
      </c>
      <c r="J73" s="19" t="n">
        <v>0</v>
      </c>
      <c r="K73" s="19" t="n">
        <v>0</v>
      </c>
      <c r="L73" s="19" t="n">
        <f aca="false">G73*I73-J73+K73</f>
        <v>17000</v>
      </c>
    </row>
    <row r="74" customFormat="false" ht="18.75" hidden="false" customHeight="true" outlineLevel="0" collapsed="false">
      <c r="A74" s="20" t="n">
        <v>70</v>
      </c>
      <c r="B74" s="21" t="s">
        <v>175</v>
      </c>
      <c r="C74" s="24" t="s">
        <v>176</v>
      </c>
      <c r="D74" s="13" t="s">
        <v>38</v>
      </c>
      <c r="E74" s="13" t="s">
        <v>462</v>
      </c>
      <c r="F74" s="21" t="s">
        <v>39</v>
      </c>
      <c r="G74" s="22" t="n">
        <v>17</v>
      </c>
      <c r="H74" s="21" t="s">
        <v>67</v>
      </c>
      <c r="I74" s="22" t="n">
        <v>650</v>
      </c>
      <c r="J74" s="22" t="n">
        <v>0</v>
      </c>
      <c r="K74" s="22" t="n">
        <v>0</v>
      </c>
      <c r="L74" s="22" t="n">
        <f aca="false">G74*I74-J74+K74</f>
        <v>11050</v>
      </c>
    </row>
    <row r="75" customFormat="false" ht="18.75" hidden="false" customHeight="true" outlineLevel="0" collapsed="false">
      <c r="A75" s="17" t="n">
        <v>71</v>
      </c>
      <c r="B75" s="18" t="s">
        <v>175</v>
      </c>
      <c r="C75" s="23" t="s">
        <v>176</v>
      </c>
      <c r="D75" s="9" t="s">
        <v>38</v>
      </c>
      <c r="E75" s="9" t="s">
        <v>463</v>
      </c>
      <c r="F75" s="18" t="s">
        <v>39</v>
      </c>
      <c r="G75" s="19" t="n">
        <v>50</v>
      </c>
      <c r="H75" s="18" t="s">
        <v>67</v>
      </c>
      <c r="I75" s="19" t="n">
        <v>225</v>
      </c>
      <c r="J75" s="19" t="n">
        <v>0</v>
      </c>
      <c r="K75" s="19" t="n">
        <v>0</v>
      </c>
      <c r="L75" s="19" t="n">
        <f aca="false">G75*I75-J75+K75</f>
        <v>11250</v>
      </c>
    </row>
    <row r="76" customFormat="false" ht="18.75" hidden="false" customHeight="true" outlineLevel="0" collapsed="false">
      <c r="A76" s="20" t="n">
        <v>72</v>
      </c>
      <c r="B76" s="21" t="s">
        <v>175</v>
      </c>
      <c r="C76" s="24" t="s">
        <v>176</v>
      </c>
      <c r="D76" s="13" t="s">
        <v>38</v>
      </c>
      <c r="E76" s="13" t="s">
        <v>69</v>
      </c>
      <c r="F76" s="21" t="s">
        <v>39</v>
      </c>
      <c r="G76" s="22" t="n">
        <v>11</v>
      </c>
      <c r="H76" s="21" t="s">
        <v>67</v>
      </c>
      <c r="I76" s="22" t="n">
        <v>5500</v>
      </c>
      <c r="J76" s="22" t="n">
        <v>0</v>
      </c>
      <c r="K76" s="22" t="n">
        <v>0</v>
      </c>
      <c r="L76" s="22" t="n">
        <f aca="false">G76*I76-J76+K76</f>
        <v>60500</v>
      </c>
    </row>
    <row r="77" customFormat="false" ht="18.75" hidden="false" customHeight="true" outlineLevel="0" collapsed="false">
      <c r="A77" s="17" t="n">
        <v>73</v>
      </c>
      <c r="B77" s="18" t="s">
        <v>175</v>
      </c>
      <c r="C77" s="23" t="s">
        <v>176</v>
      </c>
      <c r="D77" s="9" t="s">
        <v>38</v>
      </c>
      <c r="E77" s="9" t="s">
        <v>464</v>
      </c>
      <c r="F77" s="18" t="s">
        <v>39</v>
      </c>
      <c r="G77" s="19" t="n">
        <v>2</v>
      </c>
      <c r="H77" s="18"/>
      <c r="I77" s="19" t="n">
        <v>6000</v>
      </c>
      <c r="J77" s="19" t="n">
        <v>0</v>
      </c>
      <c r="K77" s="19" t="n">
        <v>0</v>
      </c>
      <c r="L77" s="19" t="n">
        <f aca="false">G77*I77-J77+K77</f>
        <v>12000</v>
      </c>
    </row>
    <row r="78" customFormat="false" ht="18.75" hidden="false" customHeight="true" outlineLevel="0" collapsed="false">
      <c r="A78" s="20" t="n">
        <v>74</v>
      </c>
      <c r="B78" s="21" t="s">
        <v>175</v>
      </c>
      <c r="C78" s="24" t="s">
        <v>176</v>
      </c>
      <c r="D78" s="13" t="s">
        <v>38</v>
      </c>
      <c r="E78" s="13" t="s">
        <v>465</v>
      </c>
      <c r="F78" s="21" t="s">
        <v>39</v>
      </c>
      <c r="G78" s="22" t="n">
        <v>2</v>
      </c>
      <c r="H78" s="21"/>
      <c r="I78" s="22" t="n">
        <v>5700</v>
      </c>
      <c r="J78" s="22" t="n">
        <v>0</v>
      </c>
      <c r="K78" s="22" t="n">
        <v>0</v>
      </c>
      <c r="L78" s="22" t="n">
        <f aca="false">G78*I78-J78+K78</f>
        <v>11400</v>
      </c>
    </row>
    <row r="79" customFormat="false" ht="18.75" hidden="false" customHeight="true" outlineLevel="0" collapsed="false">
      <c r="A79" s="17" t="n">
        <v>75</v>
      </c>
      <c r="B79" s="18" t="s">
        <v>175</v>
      </c>
      <c r="C79" s="23" t="s">
        <v>176</v>
      </c>
      <c r="D79" s="9" t="s">
        <v>38</v>
      </c>
      <c r="E79" s="9" t="s">
        <v>71</v>
      </c>
      <c r="F79" s="18" t="s">
        <v>39</v>
      </c>
      <c r="G79" s="19" t="n">
        <v>10</v>
      </c>
      <c r="H79" s="18" t="s">
        <v>67</v>
      </c>
      <c r="I79" s="19" t="n">
        <v>1700</v>
      </c>
      <c r="J79" s="19" t="n">
        <v>0</v>
      </c>
      <c r="K79" s="19" t="n">
        <v>0</v>
      </c>
      <c r="L79" s="19" t="n">
        <f aca="false">G79*I79-J79+K79</f>
        <v>17000</v>
      </c>
    </row>
    <row r="80" customFormat="false" ht="18.75" hidden="false" customHeight="true" outlineLevel="0" collapsed="false">
      <c r="A80" s="20" t="n">
        <v>76</v>
      </c>
      <c r="B80" s="21" t="s">
        <v>175</v>
      </c>
      <c r="C80" s="24" t="s">
        <v>176</v>
      </c>
      <c r="D80" s="13" t="s">
        <v>38</v>
      </c>
      <c r="E80" s="13" t="s">
        <v>72</v>
      </c>
      <c r="F80" s="21" t="s">
        <v>39</v>
      </c>
      <c r="G80" s="22" t="n">
        <v>1715</v>
      </c>
      <c r="H80" s="21" t="s">
        <v>73</v>
      </c>
      <c r="I80" s="22" t="n">
        <v>20</v>
      </c>
      <c r="J80" s="22" t="n">
        <v>0</v>
      </c>
      <c r="K80" s="22" t="n">
        <v>0</v>
      </c>
      <c r="L80" s="22" t="n">
        <f aca="false">G80*I80-J80+K80</f>
        <v>34300</v>
      </c>
    </row>
    <row r="81" customFormat="false" ht="18.75" hidden="false" customHeight="true" outlineLevel="0" collapsed="false">
      <c r="A81" s="17" t="n">
        <v>77</v>
      </c>
      <c r="B81" s="18" t="s">
        <v>175</v>
      </c>
      <c r="C81" s="23" t="s">
        <v>176</v>
      </c>
      <c r="D81" s="9" t="s">
        <v>38</v>
      </c>
      <c r="E81" s="9" t="s">
        <v>64</v>
      </c>
      <c r="F81" s="18" t="s">
        <v>39</v>
      </c>
      <c r="G81" s="19" t="n">
        <v>5047.5</v>
      </c>
      <c r="H81" s="18" t="s">
        <v>65</v>
      </c>
      <c r="I81" s="19" t="n">
        <v>16.5</v>
      </c>
      <c r="J81" s="19" t="n">
        <v>0</v>
      </c>
      <c r="K81" s="19" t="n">
        <v>0</v>
      </c>
      <c r="L81" s="19" t="n">
        <f aca="false">G81*I81-J81+K81</f>
        <v>83283.75</v>
      </c>
    </row>
    <row r="82" customFormat="false" ht="18.75" hidden="false" customHeight="true" outlineLevel="0" collapsed="false">
      <c r="A82" s="20" t="n">
        <v>78</v>
      </c>
      <c r="B82" s="21" t="s">
        <v>175</v>
      </c>
      <c r="C82" s="24" t="s">
        <v>176</v>
      </c>
      <c r="D82" s="13" t="s">
        <v>38</v>
      </c>
      <c r="E82" s="13" t="s">
        <v>466</v>
      </c>
      <c r="F82" s="21" t="s">
        <v>39</v>
      </c>
      <c r="G82" s="22" t="n">
        <v>827.25</v>
      </c>
      <c r="H82" s="21" t="s">
        <v>65</v>
      </c>
      <c r="I82" s="22" t="n">
        <v>25</v>
      </c>
      <c r="J82" s="22" t="n">
        <v>0</v>
      </c>
      <c r="K82" s="22" t="n">
        <v>0</v>
      </c>
      <c r="L82" s="22" t="n">
        <f aca="false">G82*I82-J82+K82</f>
        <v>20681.25</v>
      </c>
    </row>
    <row r="83" customFormat="false" ht="18.75" hidden="false" customHeight="true" outlineLevel="0" collapsed="false">
      <c r="A83" s="17" t="n">
        <v>79</v>
      </c>
      <c r="B83" s="18" t="s">
        <v>175</v>
      </c>
      <c r="C83" s="23" t="s">
        <v>176</v>
      </c>
      <c r="D83" s="9" t="s">
        <v>38</v>
      </c>
      <c r="E83" s="9" t="s">
        <v>459</v>
      </c>
      <c r="F83" s="18" t="s">
        <v>39</v>
      </c>
      <c r="G83" s="19" t="n">
        <v>367</v>
      </c>
      <c r="H83" s="18" t="s">
        <v>65</v>
      </c>
      <c r="I83" s="19" t="n">
        <v>16</v>
      </c>
      <c r="J83" s="19" t="n">
        <v>0</v>
      </c>
      <c r="K83" s="19" t="n">
        <v>0</v>
      </c>
      <c r="L83" s="19" t="n">
        <f aca="false">G83*I83-J83+K83</f>
        <v>5872</v>
      </c>
    </row>
    <row r="84" customFormat="false" ht="18.75" hidden="false" customHeight="true" outlineLevel="0" collapsed="false">
      <c r="A84" s="20" t="n">
        <v>80</v>
      </c>
      <c r="B84" s="21" t="s">
        <v>175</v>
      </c>
      <c r="C84" s="24" t="s">
        <v>176</v>
      </c>
      <c r="D84" s="13" t="s">
        <v>38</v>
      </c>
      <c r="E84" s="13" t="s">
        <v>467</v>
      </c>
      <c r="F84" s="21" t="s">
        <v>39</v>
      </c>
      <c r="G84" s="22" t="n">
        <v>282</v>
      </c>
      <c r="H84" s="21" t="s">
        <v>67</v>
      </c>
      <c r="I84" s="22" t="n">
        <v>13</v>
      </c>
      <c r="J84" s="22" t="n">
        <v>0</v>
      </c>
      <c r="K84" s="22" t="n">
        <v>0</v>
      </c>
      <c r="L84" s="22" t="n">
        <f aca="false">G84*I84-J84+K84</f>
        <v>3666</v>
      </c>
    </row>
    <row r="85" customFormat="false" ht="18.75" hidden="false" customHeight="true" outlineLevel="0" collapsed="false">
      <c r="A85" s="17" t="n">
        <v>81</v>
      </c>
      <c r="B85" s="18" t="s">
        <v>175</v>
      </c>
      <c r="C85" s="23" t="s">
        <v>176</v>
      </c>
      <c r="D85" s="9" t="s">
        <v>38</v>
      </c>
      <c r="E85" s="9" t="s">
        <v>468</v>
      </c>
      <c r="F85" s="18" t="s">
        <v>39</v>
      </c>
      <c r="G85" s="19" t="n">
        <v>3</v>
      </c>
      <c r="H85" s="18" t="s">
        <v>67</v>
      </c>
      <c r="I85" s="19" t="n">
        <v>1600</v>
      </c>
      <c r="J85" s="19" t="n">
        <v>0</v>
      </c>
      <c r="K85" s="19" t="n">
        <v>0</v>
      </c>
      <c r="L85" s="19" t="n">
        <f aca="false">G85*I85-J85+K85</f>
        <v>4800</v>
      </c>
    </row>
    <row r="86" customFormat="false" ht="18.75" hidden="false" customHeight="true" outlineLevel="0" collapsed="false">
      <c r="A86" s="20" t="n">
        <v>82</v>
      </c>
      <c r="B86" s="21" t="s">
        <v>175</v>
      </c>
      <c r="C86" s="24" t="s">
        <v>176</v>
      </c>
      <c r="D86" s="13" t="s">
        <v>38</v>
      </c>
      <c r="E86" s="13" t="s">
        <v>469</v>
      </c>
      <c r="F86" s="21" t="s">
        <v>39</v>
      </c>
      <c r="G86" s="22" t="n">
        <v>2</v>
      </c>
      <c r="H86" s="21"/>
      <c r="I86" s="22" t="n">
        <v>2100</v>
      </c>
      <c r="J86" s="22" t="n">
        <v>0</v>
      </c>
      <c r="K86" s="22" t="n">
        <v>0</v>
      </c>
      <c r="L86" s="22" t="n">
        <f aca="false">G86*I86-J86+K86</f>
        <v>4200</v>
      </c>
    </row>
    <row r="87" customFormat="false" ht="18.75" hidden="false" customHeight="true" outlineLevel="0" collapsed="false">
      <c r="A87" s="17" t="n">
        <v>83</v>
      </c>
      <c r="B87" s="18" t="s">
        <v>175</v>
      </c>
      <c r="C87" s="23" t="s">
        <v>176</v>
      </c>
      <c r="D87" s="9" t="s">
        <v>38</v>
      </c>
      <c r="E87" s="9" t="s">
        <v>76</v>
      </c>
      <c r="F87" s="18" t="s">
        <v>39</v>
      </c>
      <c r="G87" s="19" t="n">
        <v>120</v>
      </c>
      <c r="H87" s="18" t="s">
        <v>67</v>
      </c>
      <c r="I87" s="19" t="n">
        <v>200</v>
      </c>
      <c r="J87" s="19" t="n">
        <v>0</v>
      </c>
      <c r="K87" s="19" t="n">
        <v>0</v>
      </c>
      <c r="L87" s="19" t="n">
        <f aca="false">G87*I87-J87+K87</f>
        <v>24000</v>
      </c>
    </row>
    <row r="88" customFormat="false" ht="18.75" hidden="false" customHeight="true" outlineLevel="0" collapsed="false">
      <c r="A88" s="20" t="n">
        <v>84</v>
      </c>
      <c r="B88" s="21" t="s">
        <v>175</v>
      </c>
      <c r="C88" s="24" t="s">
        <v>176</v>
      </c>
      <c r="D88" s="13" t="s">
        <v>38</v>
      </c>
      <c r="E88" s="13" t="s">
        <v>470</v>
      </c>
      <c r="F88" s="21" t="s">
        <v>39</v>
      </c>
      <c r="G88" s="22" t="n">
        <v>5566.5</v>
      </c>
      <c r="H88" s="21" t="s">
        <v>73</v>
      </c>
      <c r="I88" s="22" t="n">
        <v>10.5</v>
      </c>
      <c r="J88" s="22" t="n">
        <v>0</v>
      </c>
      <c r="K88" s="22" t="n">
        <v>0</v>
      </c>
      <c r="L88" s="22" t="n">
        <f aca="false">G88*I88-J88+K88</f>
        <v>58448.25</v>
      </c>
    </row>
    <row r="89" customFormat="false" ht="18.75" hidden="false" customHeight="true" outlineLevel="0" collapsed="false">
      <c r="A89" s="17" t="n">
        <v>85</v>
      </c>
      <c r="B89" s="18" t="s">
        <v>175</v>
      </c>
      <c r="C89" s="23" t="s">
        <v>176</v>
      </c>
      <c r="D89" s="9" t="s">
        <v>38</v>
      </c>
      <c r="E89" s="9" t="s">
        <v>66</v>
      </c>
      <c r="F89" s="18" t="s">
        <v>39</v>
      </c>
      <c r="G89" s="19" t="n">
        <v>300</v>
      </c>
      <c r="H89" s="18" t="s">
        <v>67</v>
      </c>
      <c r="I89" s="19" t="n">
        <v>255</v>
      </c>
      <c r="J89" s="19" t="n">
        <v>0</v>
      </c>
      <c r="K89" s="19" t="n">
        <v>0</v>
      </c>
      <c r="L89" s="19" t="n">
        <f aca="false">G89*I89-J89+K89</f>
        <v>76500</v>
      </c>
    </row>
    <row r="90" customFormat="false" ht="18.75" hidden="false" customHeight="true" outlineLevel="0" collapsed="false">
      <c r="A90" s="20" t="n">
        <v>86</v>
      </c>
      <c r="B90" s="21" t="s">
        <v>177</v>
      </c>
      <c r="C90" s="24" t="s">
        <v>178</v>
      </c>
      <c r="D90" s="13" t="s">
        <v>38</v>
      </c>
      <c r="E90" s="13" t="s">
        <v>456</v>
      </c>
      <c r="F90" s="21" t="s">
        <v>39</v>
      </c>
      <c r="G90" s="22" t="n">
        <v>60.7</v>
      </c>
      <c r="H90" s="21" t="s">
        <v>65</v>
      </c>
      <c r="I90" s="22" t="n">
        <v>58</v>
      </c>
      <c r="J90" s="22" t="n">
        <v>0</v>
      </c>
      <c r="K90" s="22" t="n">
        <v>0</v>
      </c>
      <c r="L90" s="22" t="n">
        <f aca="false">G90*I90-J90+K90</f>
        <v>3520.6</v>
      </c>
    </row>
    <row r="91" customFormat="false" ht="18.75" hidden="false" customHeight="true" outlineLevel="0" collapsed="false">
      <c r="A91" s="17" t="n">
        <v>87</v>
      </c>
      <c r="B91" s="18" t="s">
        <v>177</v>
      </c>
      <c r="C91" s="23" t="s">
        <v>178</v>
      </c>
      <c r="D91" s="9" t="s">
        <v>38</v>
      </c>
      <c r="E91" s="9" t="s">
        <v>74</v>
      </c>
      <c r="F91" s="18" t="s">
        <v>39</v>
      </c>
      <c r="G91" s="19" t="n">
        <v>50</v>
      </c>
      <c r="H91" s="18" t="s">
        <v>67</v>
      </c>
      <c r="I91" s="19" t="n">
        <v>790</v>
      </c>
      <c r="J91" s="19" t="n">
        <v>0</v>
      </c>
      <c r="K91" s="19" t="n">
        <v>0</v>
      </c>
      <c r="L91" s="19" t="n">
        <f aca="false">G91*I91-J91+K91</f>
        <v>39500</v>
      </c>
    </row>
    <row r="92" customFormat="false" ht="18.75" hidden="false" customHeight="true" outlineLevel="0" collapsed="false">
      <c r="A92" s="20" t="n">
        <v>88</v>
      </c>
      <c r="B92" s="21" t="s">
        <v>177</v>
      </c>
      <c r="C92" s="24" t="s">
        <v>178</v>
      </c>
      <c r="D92" s="13" t="s">
        <v>38</v>
      </c>
      <c r="E92" s="13" t="s">
        <v>66</v>
      </c>
      <c r="F92" s="21" t="s">
        <v>39</v>
      </c>
      <c r="G92" s="22" t="n">
        <v>50</v>
      </c>
      <c r="H92" s="21" t="s">
        <v>67</v>
      </c>
      <c r="I92" s="22" t="n">
        <v>255</v>
      </c>
      <c r="J92" s="22" t="n">
        <v>0</v>
      </c>
      <c r="K92" s="22" t="n">
        <v>0</v>
      </c>
      <c r="L92" s="22" t="n">
        <f aca="false">G92*I92-J92+K92</f>
        <v>12750</v>
      </c>
    </row>
    <row r="93" customFormat="false" ht="18.75" hidden="false" customHeight="true" outlineLevel="0" collapsed="false">
      <c r="A93" s="17" t="n">
        <v>89</v>
      </c>
      <c r="B93" s="18" t="s">
        <v>177</v>
      </c>
      <c r="C93" s="23" t="s">
        <v>178</v>
      </c>
      <c r="D93" s="9" t="s">
        <v>38</v>
      </c>
      <c r="E93" s="9" t="s">
        <v>64</v>
      </c>
      <c r="F93" s="18" t="s">
        <v>39</v>
      </c>
      <c r="G93" s="19" t="n">
        <v>633</v>
      </c>
      <c r="H93" s="18" t="s">
        <v>65</v>
      </c>
      <c r="I93" s="19" t="n">
        <v>16.5</v>
      </c>
      <c r="J93" s="19" t="n">
        <v>0</v>
      </c>
      <c r="K93" s="19" t="n">
        <v>0</v>
      </c>
      <c r="L93" s="19" t="n">
        <f aca="false">G93*I93-J93+K93</f>
        <v>10444.5</v>
      </c>
    </row>
    <row r="94" customFormat="false" ht="18.75" hidden="false" customHeight="true" outlineLevel="0" collapsed="false">
      <c r="A94" s="20" t="n">
        <v>90</v>
      </c>
      <c r="B94" s="21" t="s">
        <v>179</v>
      </c>
      <c r="C94" s="24" t="s">
        <v>180</v>
      </c>
      <c r="D94" s="13" t="s">
        <v>38</v>
      </c>
      <c r="E94" s="13" t="s">
        <v>471</v>
      </c>
      <c r="F94" s="21" t="s">
        <v>39</v>
      </c>
      <c r="G94" s="22" t="n">
        <v>5</v>
      </c>
      <c r="H94" s="21" t="s">
        <v>67</v>
      </c>
      <c r="I94" s="22" t="n">
        <v>8500</v>
      </c>
      <c r="J94" s="22" t="n">
        <v>0</v>
      </c>
      <c r="K94" s="22" t="n">
        <v>0</v>
      </c>
      <c r="L94" s="22" t="n">
        <f aca="false">G94*I94-J94+K94</f>
        <v>42500</v>
      </c>
    </row>
    <row r="95" customFormat="false" ht="18.75" hidden="false" customHeight="true" outlineLevel="0" collapsed="false">
      <c r="A95" s="17" t="n">
        <v>91</v>
      </c>
      <c r="B95" s="18" t="s">
        <v>179</v>
      </c>
      <c r="C95" s="23" t="s">
        <v>180</v>
      </c>
      <c r="D95" s="9" t="s">
        <v>38</v>
      </c>
      <c r="E95" s="9" t="s">
        <v>471</v>
      </c>
      <c r="F95" s="18" t="s">
        <v>39</v>
      </c>
      <c r="G95" s="19" t="n">
        <v>1</v>
      </c>
      <c r="H95" s="18" t="s">
        <v>67</v>
      </c>
      <c r="I95" s="19" t="n">
        <v>6300</v>
      </c>
      <c r="J95" s="19" t="n">
        <v>0</v>
      </c>
      <c r="K95" s="19" t="n">
        <v>0</v>
      </c>
      <c r="L95" s="19" t="n">
        <f aca="false">G95*I95-J95+K95</f>
        <v>6300</v>
      </c>
    </row>
    <row r="96" customFormat="false" ht="18.75" hidden="false" customHeight="true" outlineLevel="0" collapsed="false">
      <c r="A96" s="20" t="n">
        <v>92</v>
      </c>
      <c r="B96" s="21" t="s">
        <v>179</v>
      </c>
      <c r="C96" s="24" t="s">
        <v>180</v>
      </c>
      <c r="D96" s="13" t="s">
        <v>38</v>
      </c>
      <c r="E96" s="13" t="s">
        <v>462</v>
      </c>
      <c r="F96" s="21" t="s">
        <v>39</v>
      </c>
      <c r="G96" s="22" t="n">
        <v>650</v>
      </c>
      <c r="H96" s="21" t="s">
        <v>67</v>
      </c>
      <c r="I96" s="22" t="n">
        <v>10</v>
      </c>
      <c r="J96" s="22" t="n">
        <v>0</v>
      </c>
      <c r="K96" s="22" t="n">
        <v>0</v>
      </c>
      <c r="L96" s="22" t="n">
        <f aca="false">G96*I96-J96+K96</f>
        <v>6500</v>
      </c>
    </row>
    <row r="97" customFormat="false" ht="18.75" hidden="false" customHeight="true" outlineLevel="0" collapsed="false">
      <c r="A97" s="17" t="n">
        <v>93</v>
      </c>
      <c r="B97" s="18" t="s">
        <v>179</v>
      </c>
      <c r="C97" s="23" t="s">
        <v>180</v>
      </c>
      <c r="D97" s="9" t="s">
        <v>38</v>
      </c>
      <c r="E97" s="9" t="s">
        <v>456</v>
      </c>
      <c r="F97" s="18" t="s">
        <v>39</v>
      </c>
      <c r="G97" s="19" t="n">
        <v>133.3</v>
      </c>
      <c r="H97" s="18" t="s">
        <v>65</v>
      </c>
      <c r="I97" s="19" t="n">
        <v>58</v>
      </c>
      <c r="J97" s="19" t="n">
        <v>0</v>
      </c>
      <c r="K97" s="19" t="n">
        <v>0</v>
      </c>
      <c r="L97" s="19" t="n">
        <f aca="false">G97*I97-J97+K97</f>
        <v>7731.4</v>
      </c>
    </row>
    <row r="98" customFormat="false" ht="18.75" hidden="false" customHeight="true" outlineLevel="0" collapsed="false">
      <c r="A98" s="20" t="n">
        <v>94</v>
      </c>
      <c r="B98" s="21" t="s">
        <v>179</v>
      </c>
      <c r="C98" s="24" t="s">
        <v>180</v>
      </c>
      <c r="D98" s="13" t="s">
        <v>38</v>
      </c>
      <c r="E98" s="13" t="s">
        <v>64</v>
      </c>
      <c r="F98" s="21" t="s">
        <v>39</v>
      </c>
      <c r="G98" s="22" t="n">
        <v>671.75</v>
      </c>
      <c r="H98" s="21" t="s">
        <v>65</v>
      </c>
      <c r="I98" s="22" t="n">
        <v>16.5</v>
      </c>
      <c r="J98" s="22" t="n">
        <v>0</v>
      </c>
      <c r="K98" s="22" t="n">
        <v>0</v>
      </c>
      <c r="L98" s="22" t="n">
        <f aca="false">G98*I98-J98+K98</f>
        <v>11083.875</v>
      </c>
    </row>
    <row r="99" customFormat="false" ht="18.75" hidden="false" customHeight="true" outlineLevel="0" collapsed="false">
      <c r="A99" s="17" t="n">
        <v>95</v>
      </c>
      <c r="B99" s="18" t="s">
        <v>179</v>
      </c>
      <c r="C99" s="23" t="s">
        <v>180</v>
      </c>
      <c r="D99" s="9" t="s">
        <v>38</v>
      </c>
      <c r="E99" s="9" t="s">
        <v>472</v>
      </c>
      <c r="F99" s="18" t="s">
        <v>39</v>
      </c>
      <c r="G99" s="19" t="n">
        <v>100</v>
      </c>
      <c r="H99" s="18" t="s">
        <v>67</v>
      </c>
      <c r="I99" s="19" t="n">
        <v>55</v>
      </c>
      <c r="J99" s="19" t="n">
        <v>0</v>
      </c>
      <c r="K99" s="19" t="n">
        <v>0</v>
      </c>
      <c r="L99" s="19" t="n">
        <f aca="false">G99*I99-J99+K99</f>
        <v>5500</v>
      </c>
    </row>
    <row r="100" customFormat="false" ht="18.75" hidden="false" customHeight="true" outlineLevel="0" collapsed="false">
      <c r="A100" s="20" t="n">
        <v>96</v>
      </c>
      <c r="B100" s="21" t="s">
        <v>179</v>
      </c>
      <c r="C100" s="24" t="s">
        <v>180</v>
      </c>
      <c r="D100" s="13" t="s">
        <v>38</v>
      </c>
      <c r="E100" s="13" t="s">
        <v>457</v>
      </c>
      <c r="F100" s="21" t="s">
        <v>39</v>
      </c>
      <c r="G100" s="22" t="n">
        <v>1</v>
      </c>
      <c r="H100" s="21" t="s">
        <v>67</v>
      </c>
      <c r="I100" s="22" t="n">
        <v>4000</v>
      </c>
      <c r="J100" s="22" t="n">
        <v>0</v>
      </c>
      <c r="K100" s="22" t="n">
        <v>0</v>
      </c>
      <c r="L100" s="22" t="n">
        <f aca="false">G100*I100-J100+K100</f>
        <v>4000</v>
      </c>
    </row>
    <row r="101" customFormat="false" ht="18.75" hidden="false" customHeight="true" outlineLevel="0" collapsed="false">
      <c r="A101" s="17" t="n">
        <v>97</v>
      </c>
      <c r="B101" s="18" t="s">
        <v>179</v>
      </c>
      <c r="C101" s="23" t="s">
        <v>180</v>
      </c>
      <c r="D101" s="9" t="s">
        <v>38</v>
      </c>
      <c r="E101" s="9" t="s">
        <v>71</v>
      </c>
      <c r="F101" s="18" t="s">
        <v>39</v>
      </c>
      <c r="G101" s="19" t="n">
        <v>10</v>
      </c>
      <c r="H101" s="18" t="s">
        <v>67</v>
      </c>
      <c r="I101" s="19" t="n">
        <v>1700</v>
      </c>
      <c r="J101" s="19" t="n">
        <v>0</v>
      </c>
      <c r="K101" s="19" t="n">
        <v>0</v>
      </c>
      <c r="L101" s="19" t="n">
        <f aca="false">G101*I101-J101+K101</f>
        <v>17000</v>
      </c>
    </row>
    <row r="102" customFormat="false" ht="18.75" hidden="false" customHeight="true" outlineLevel="0" collapsed="false">
      <c r="A102" s="20" t="n">
        <v>98</v>
      </c>
      <c r="B102" s="21" t="s">
        <v>179</v>
      </c>
      <c r="C102" s="24" t="s">
        <v>180</v>
      </c>
      <c r="D102" s="13" t="s">
        <v>38</v>
      </c>
      <c r="E102" s="13" t="s">
        <v>473</v>
      </c>
      <c r="F102" s="21" t="s">
        <v>39</v>
      </c>
      <c r="G102" s="22" t="n">
        <v>210</v>
      </c>
      <c r="H102" s="21" t="s">
        <v>67</v>
      </c>
      <c r="I102" s="22" t="n">
        <v>10</v>
      </c>
      <c r="J102" s="22" t="n">
        <v>0</v>
      </c>
      <c r="K102" s="22" t="n">
        <v>0</v>
      </c>
      <c r="L102" s="22" t="n">
        <f aca="false">G102*I102-J102+K102</f>
        <v>2100</v>
      </c>
    </row>
    <row r="103" customFormat="false" ht="18.75" hidden="false" customHeight="true" outlineLevel="0" collapsed="false">
      <c r="A103" s="17" t="n">
        <v>99</v>
      </c>
      <c r="B103" s="18" t="s">
        <v>179</v>
      </c>
      <c r="C103" s="23" t="s">
        <v>180</v>
      </c>
      <c r="D103" s="9" t="s">
        <v>38</v>
      </c>
      <c r="E103" s="9" t="s">
        <v>460</v>
      </c>
      <c r="F103" s="18" t="s">
        <v>39</v>
      </c>
      <c r="G103" s="19" t="n">
        <v>10</v>
      </c>
      <c r="H103" s="18" t="s">
        <v>67</v>
      </c>
      <c r="I103" s="19" t="n">
        <v>2800</v>
      </c>
      <c r="J103" s="19" t="n">
        <v>0</v>
      </c>
      <c r="K103" s="19" t="n">
        <v>3360</v>
      </c>
      <c r="L103" s="19" t="n">
        <f aca="false">G103*I103-J103+K103</f>
        <v>31360</v>
      </c>
    </row>
    <row r="104" customFormat="false" ht="18.75" hidden="false" customHeight="true" outlineLevel="0" collapsed="false">
      <c r="A104" s="20" t="n">
        <v>100</v>
      </c>
      <c r="B104" s="21" t="s">
        <v>181</v>
      </c>
      <c r="C104" s="24" t="s">
        <v>182</v>
      </c>
      <c r="D104" s="13" t="s">
        <v>183</v>
      </c>
      <c r="E104" s="13" t="s">
        <v>474</v>
      </c>
      <c r="F104" s="21" t="s">
        <v>39</v>
      </c>
      <c r="G104" s="22" t="n">
        <v>2</v>
      </c>
      <c r="H104" s="21" t="s">
        <v>67</v>
      </c>
      <c r="I104" s="22" t="n">
        <v>25000</v>
      </c>
      <c r="J104" s="22" t="n">
        <v>3000</v>
      </c>
      <c r="K104" s="22" t="n">
        <v>0</v>
      </c>
      <c r="L104" s="22" t="n">
        <f aca="false">G104*I104-J104+K104</f>
        <v>47000</v>
      </c>
    </row>
    <row r="105" customFormat="false" ht="18.75" hidden="false" customHeight="true" outlineLevel="0" collapsed="false">
      <c r="A105" s="17" t="n">
        <v>101</v>
      </c>
      <c r="B105" s="18" t="s">
        <v>184</v>
      </c>
      <c r="C105" s="23" t="s">
        <v>182</v>
      </c>
      <c r="D105" s="9" t="s">
        <v>38</v>
      </c>
      <c r="E105" s="9" t="s">
        <v>475</v>
      </c>
      <c r="F105" s="18" t="s">
        <v>39</v>
      </c>
      <c r="G105" s="19" t="n">
        <v>4</v>
      </c>
      <c r="H105" s="18" t="s">
        <v>67</v>
      </c>
      <c r="I105" s="19" t="n">
        <v>1500</v>
      </c>
      <c r="J105" s="19" t="n">
        <v>0</v>
      </c>
      <c r="K105" s="19" t="n">
        <v>0</v>
      </c>
      <c r="L105" s="19" t="n">
        <f aca="false">G105*I105-J105+K105</f>
        <v>6000</v>
      </c>
    </row>
    <row r="106" customFormat="false" ht="18.75" hidden="false" customHeight="true" outlineLevel="0" collapsed="false">
      <c r="A106" s="20" t="n">
        <v>102</v>
      </c>
      <c r="B106" s="21" t="s">
        <v>184</v>
      </c>
      <c r="C106" s="24" t="s">
        <v>182</v>
      </c>
      <c r="D106" s="13" t="s">
        <v>38</v>
      </c>
      <c r="E106" s="13" t="s">
        <v>476</v>
      </c>
      <c r="F106" s="21" t="s">
        <v>39</v>
      </c>
      <c r="G106" s="22" t="n">
        <v>8</v>
      </c>
      <c r="H106" s="21" t="s">
        <v>67</v>
      </c>
      <c r="I106" s="22" t="n">
        <v>2200</v>
      </c>
      <c r="J106" s="22" t="n">
        <v>0</v>
      </c>
      <c r="K106" s="22" t="n">
        <v>0</v>
      </c>
      <c r="L106" s="22" t="n">
        <f aca="false">G106*I106-J106+K106</f>
        <v>17600</v>
      </c>
    </row>
    <row r="107" customFormat="false" ht="18.75" hidden="false" customHeight="true" outlineLevel="0" collapsed="false">
      <c r="A107" s="17" t="n">
        <v>103</v>
      </c>
      <c r="B107" s="18" t="s">
        <v>184</v>
      </c>
      <c r="C107" s="23" t="s">
        <v>182</v>
      </c>
      <c r="D107" s="9" t="s">
        <v>38</v>
      </c>
      <c r="E107" s="9" t="s">
        <v>477</v>
      </c>
      <c r="F107" s="18" t="s">
        <v>39</v>
      </c>
      <c r="G107" s="19" t="n">
        <v>6</v>
      </c>
      <c r="H107" s="18" t="s">
        <v>67</v>
      </c>
      <c r="I107" s="19" t="n">
        <v>2400</v>
      </c>
      <c r="J107" s="19" t="n">
        <v>0</v>
      </c>
      <c r="K107" s="19" t="n">
        <v>0</v>
      </c>
      <c r="L107" s="19" t="n">
        <f aca="false">G107*I107-J107+K107</f>
        <v>14400</v>
      </c>
    </row>
    <row r="108" customFormat="false" ht="18.75" hidden="false" customHeight="true" outlineLevel="0" collapsed="false">
      <c r="A108" s="20" t="n">
        <v>104</v>
      </c>
      <c r="B108" s="21" t="s">
        <v>184</v>
      </c>
      <c r="C108" s="24" t="s">
        <v>182</v>
      </c>
      <c r="D108" s="13" t="s">
        <v>38</v>
      </c>
      <c r="E108" s="13" t="s">
        <v>478</v>
      </c>
      <c r="F108" s="21" t="s">
        <v>39</v>
      </c>
      <c r="G108" s="22" t="n">
        <v>4</v>
      </c>
      <c r="H108" s="21" t="s">
        <v>67</v>
      </c>
      <c r="I108" s="22" t="n">
        <v>2000</v>
      </c>
      <c r="J108" s="22" t="n">
        <v>0</v>
      </c>
      <c r="K108" s="22" t="n">
        <v>0</v>
      </c>
      <c r="L108" s="22" t="n">
        <f aca="false">G108*I108-J108+K108</f>
        <v>8000</v>
      </c>
    </row>
    <row r="109" customFormat="false" ht="18.75" hidden="false" customHeight="true" outlineLevel="0" collapsed="false">
      <c r="A109" s="17" t="n">
        <v>105</v>
      </c>
      <c r="B109" s="18" t="s">
        <v>184</v>
      </c>
      <c r="C109" s="23" t="s">
        <v>182</v>
      </c>
      <c r="D109" s="9" t="s">
        <v>38</v>
      </c>
      <c r="E109" s="9" t="s">
        <v>479</v>
      </c>
      <c r="F109" s="18" t="s">
        <v>39</v>
      </c>
      <c r="G109" s="19" t="n">
        <v>148</v>
      </c>
      <c r="H109" s="18" t="s">
        <v>65</v>
      </c>
      <c r="I109" s="19" t="n">
        <v>45</v>
      </c>
      <c r="J109" s="19" t="n">
        <v>0</v>
      </c>
      <c r="K109" s="19" t="n">
        <v>0</v>
      </c>
      <c r="L109" s="19" t="n">
        <f aca="false">G109*I109-J109+K109</f>
        <v>6660</v>
      </c>
    </row>
    <row r="110" customFormat="false" ht="18.75" hidden="false" customHeight="true" outlineLevel="0" collapsed="false">
      <c r="A110" s="20" t="n">
        <v>106</v>
      </c>
      <c r="B110" s="21" t="s">
        <v>184</v>
      </c>
      <c r="C110" s="24" t="s">
        <v>182</v>
      </c>
      <c r="D110" s="13" t="s">
        <v>38</v>
      </c>
      <c r="E110" s="13" t="s">
        <v>480</v>
      </c>
      <c r="F110" s="21" t="s">
        <v>39</v>
      </c>
      <c r="G110" s="22" t="n">
        <v>10</v>
      </c>
      <c r="H110" s="21" t="s">
        <v>67</v>
      </c>
      <c r="I110" s="22" t="n">
        <v>180</v>
      </c>
      <c r="J110" s="22" t="n">
        <v>0</v>
      </c>
      <c r="K110" s="22" t="n">
        <v>0</v>
      </c>
      <c r="L110" s="22" t="n">
        <f aca="false">G110*I110-J110+K110</f>
        <v>1800</v>
      </c>
    </row>
    <row r="111" customFormat="false" ht="18.75" hidden="false" customHeight="true" outlineLevel="0" collapsed="false">
      <c r="A111" s="17" t="n">
        <v>107</v>
      </c>
      <c r="B111" s="18" t="s">
        <v>184</v>
      </c>
      <c r="C111" s="23" t="s">
        <v>182</v>
      </c>
      <c r="D111" s="9" t="s">
        <v>38</v>
      </c>
      <c r="E111" s="9" t="s">
        <v>481</v>
      </c>
      <c r="F111" s="18" t="s">
        <v>39</v>
      </c>
      <c r="G111" s="19" t="n">
        <v>10</v>
      </c>
      <c r="H111" s="18" t="s">
        <v>67</v>
      </c>
      <c r="I111" s="19" t="n">
        <v>325</v>
      </c>
      <c r="J111" s="19" t="n">
        <v>0</v>
      </c>
      <c r="K111" s="19" t="n">
        <v>0</v>
      </c>
      <c r="L111" s="19" t="n">
        <f aca="false">G111*I111-J111+K111</f>
        <v>3250</v>
      </c>
    </row>
    <row r="112" customFormat="false" ht="18.75" hidden="false" customHeight="true" outlineLevel="0" collapsed="false">
      <c r="A112" s="20" t="n">
        <v>108</v>
      </c>
      <c r="B112" s="21" t="s">
        <v>184</v>
      </c>
      <c r="C112" s="24" t="s">
        <v>182</v>
      </c>
      <c r="D112" s="13" t="s">
        <v>38</v>
      </c>
      <c r="E112" s="13" t="s">
        <v>482</v>
      </c>
      <c r="F112" s="21" t="s">
        <v>39</v>
      </c>
      <c r="G112" s="22" t="n">
        <v>10</v>
      </c>
      <c r="H112" s="21" t="s">
        <v>67</v>
      </c>
      <c r="I112" s="22" t="n">
        <v>325</v>
      </c>
      <c r="J112" s="22" t="n">
        <v>0</v>
      </c>
      <c r="K112" s="22" t="n">
        <v>0</v>
      </c>
      <c r="L112" s="22" t="n">
        <f aca="false">G112*I112-J112+K112</f>
        <v>3250</v>
      </c>
    </row>
    <row r="113" customFormat="false" ht="18.75" hidden="false" customHeight="true" outlineLevel="0" collapsed="false">
      <c r="A113" s="17" t="n">
        <v>109</v>
      </c>
      <c r="B113" s="18" t="s">
        <v>184</v>
      </c>
      <c r="C113" s="23" t="s">
        <v>182</v>
      </c>
      <c r="D113" s="9" t="s">
        <v>38</v>
      </c>
      <c r="E113" s="9" t="s">
        <v>483</v>
      </c>
      <c r="F113" s="18" t="s">
        <v>39</v>
      </c>
      <c r="G113" s="19" t="n">
        <v>10</v>
      </c>
      <c r="H113" s="18"/>
      <c r="I113" s="19" t="n">
        <v>275</v>
      </c>
      <c r="J113" s="19" t="n">
        <v>0</v>
      </c>
      <c r="K113" s="19" t="n">
        <v>0</v>
      </c>
      <c r="L113" s="19" t="n">
        <f aca="false">G113*I113-J113+K113</f>
        <v>2750</v>
      </c>
    </row>
    <row r="114" customFormat="false" ht="18.75" hidden="false" customHeight="true" outlineLevel="0" collapsed="false">
      <c r="A114" s="20" t="n">
        <v>110</v>
      </c>
      <c r="B114" s="21" t="s">
        <v>184</v>
      </c>
      <c r="C114" s="24" t="s">
        <v>182</v>
      </c>
      <c r="D114" s="13" t="s">
        <v>38</v>
      </c>
      <c r="E114" s="13" t="s">
        <v>484</v>
      </c>
      <c r="F114" s="21" t="s">
        <v>39</v>
      </c>
      <c r="G114" s="22" t="n">
        <v>10</v>
      </c>
      <c r="H114" s="21" t="s">
        <v>67</v>
      </c>
      <c r="I114" s="22" t="n">
        <v>300</v>
      </c>
      <c r="J114" s="22" t="n">
        <v>0</v>
      </c>
      <c r="K114" s="22" t="n">
        <v>0</v>
      </c>
      <c r="L114" s="22" t="n">
        <f aca="false">G114*I114-J114+K114</f>
        <v>3000</v>
      </c>
    </row>
    <row r="115" customFormat="false" ht="18.75" hidden="false" customHeight="true" outlineLevel="0" collapsed="false">
      <c r="A115" s="17" t="n">
        <v>111</v>
      </c>
      <c r="B115" s="18" t="s">
        <v>184</v>
      </c>
      <c r="C115" s="23" t="s">
        <v>182</v>
      </c>
      <c r="D115" s="9" t="s">
        <v>38</v>
      </c>
      <c r="E115" s="9" t="s">
        <v>466</v>
      </c>
      <c r="F115" s="18" t="s">
        <v>39</v>
      </c>
      <c r="G115" s="19" t="n">
        <v>838.5</v>
      </c>
      <c r="H115" s="18" t="s">
        <v>65</v>
      </c>
      <c r="I115" s="19" t="n">
        <v>25</v>
      </c>
      <c r="J115" s="19" t="n">
        <v>0</v>
      </c>
      <c r="K115" s="19" t="n">
        <v>0</v>
      </c>
      <c r="L115" s="19" t="n">
        <f aca="false">G115*I115-J115+K115</f>
        <v>20962.5</v>
      </c>
    </row>
    <row r="116" customFormat="false" ht="18.75" hidden="false" customHeight="true" outlineLevel="0" collapsed="false">
      <c r="A116" s="20" t="n">
        <v>112</v>
      </c>
      <c r="B116" s="21" t="s">
        <v>184</v>
      </c>
      <c r="C116" s="24" t="s">
        <v>182</v>
      </c>
      <c r="D116" s="13" t="s">
        <v>38</v>
      </c>
      <c r="E116" s="13" t="s">
        <v>456</v>
      </c>
      <c r="F116" s="21" t="s">
        <v>39</v>
      </c>
      <c r="G116" s="22" t="n">
        <v>72.8</v>
      </c>
      <c r="H116" s="21" t="s">
        <v>65</v>
      </c>
      <c r="I116" s="22" t="n">
        <v>58</v>
      </c>
      <c r="J116" s="22" t="n">
        <v>0</v>
      </c>
      <c r="K116" s="22" t="n">
        <v>0</v>
      </c>
      <c r="L116" s="22" t="n">
        <f aca="false">G116*I116-J116+K116</f>
        <v>4222.4</v>
      </c>
    </row>
    <row r="117" customFormat="false" ht="18.75" hidden="false" customHeight="true" outlineLevel="0" collapsed="false">
      <c r="A117" s="17" t="n">
        <v>113</v>
      </c>
      <c r="B117" s="18" t="s">
        <v>184</v>
      </c>
      <c r="C117" s="23" t="s">
        <v>182</v>
      </c>
      <c r="D117" s="9" t="s">
        <v>38</v>
      </c>
      <c r="E117" s="9" t="s">
        <v>64</v>
      </c>
      <c r="F117" s="18" t="s">
        <v>39</v>
      </c>
      <c r="G117" s="19" t="n">
        <v>661</v>
      </c>
      <c r="H117" s="18" t="s">
        <v>65</v>
      </c>
      <c r="I117" s="19" t="n">
        <v>16.5</v>
      </c>
      <c r="J117" s="19" t="n">
        <v>0</v>
      </c>
      <c r="K117" s="19" t="n">
        <v>0</v>
      </c>
      <c r="L117" s="19" t="n">
        <f aca="false">G117*I117-J117+K117</f>
        <v>10906.5</v>
      </c>
    </row>
    <row r="118" customFormat="false" ht="18.75" hidden="false" customHeight="true" outlineLevel="0" collapsed="false">
      <c r="A118" s="20" t="n">
        <v>114</v>
      </c>
      <c r="B118" s="21" t="s">
        <v>184</v>
      </c>
      <c r="C118" s="24" t="s">
        <v>182</v>
      </c>
      <c r="D118" s="13" t="s">
        <v>38</v>
      </c>
      <c r="E118" s="13" t="s">
        <v>470</v>
      </c>
      <c r="F118" s="21" t="s">
        <v>39</v>
      </c>
      <c r="G118" s="22" t="n">
        <v>6892</v>
      </c>
      <c r="H118" s="21" t="s">
        <v>73</v>
      </c>
      <c r="I118" s="22" t="n">
        <v>10.5</v>
      </c>
      <c r="J118" s="22" t="n">
        <v>0</v>
      </c>
      <c r="K118" s="22" t="n">
        <v>0</v>
      </c>
      <c r="L118" s="22" t="n">
        <f aca="false">G118*I118-J118+K118</f>
        <v>72366</v>
      </c>
    </row>
    <row r="119" customFormat="false" ht="18.75" hidden="false" customHeight="true" outlineLevel="0" collapsed="false">
      <c r="A119" s="17" t="n">
        <v>115</v>
      </c>
      <c r="B119" s="18" t="s">
        <v>184</v>
      </c>
      <c r="C119" s="23" t="s">
        <v>182</v>
      </c>
      <c r="D119" s="9" t="s">
        <v>38</v>
      </c>
      <c r="E119" s="9" t="s">
        <v>485</v>
      </c>
      <c r="F119" s="18" t="s">
        <v>39</v>
      </c>
      <c r="G119" s="19" t="n">
        <v>5</v>
      </c>
      <c r="H119" s="18" t="s">
        <v>67</v>
      </c>
      <c r="I119" s="19" t="n">
        <v>200</v>
      </c>
      <c r="J119" s="19" t="n">
        <v>0</v>
      </c>
      <c r="K119" s="19" t="n">
        <v>0</v>
      </c>
      <c r="L119" s="19" t="n">
        <f aca="false">G119*I119-J119+K119</f>
        <v>1000</v>
      </c>
    </row>
    <row r="120" customFormat="false" ht="18.75" hidden="false" customHeight="true" outlineLevel="0" collapsed="false">
      <c r="A120" s="20" t="n">
        <v>116</v>
      </c>
      <c r="B120" s="21" t="s">
        <v>185</v>
      </c>
      <c r="C120" s="24" t="s">
        <v>186</v>
      </c>
      <c r="D120" s="13" t="s">
        <v>40</v>
      </c>
      <c r="E120" s="13" t="s">
        <v>64</v>
      </c>
      <c r="F120" s="21" t="s">
        <v>39</v>
      </c>
      <c r="G120" s="22" t="n">
        <v>3160.75</v>
      </c>
      <c r="H120" s="21" t="s">
        <v>65</v>
      </c>
      <c r="I120" s="22" t="n">
        <v>16</v>
      </c>
      <c r="J120" s="22" t="n">
        <v>0</v>
      </c>
      <c r="K120" s="22" t="n">
        <v>0</v>
      </c>
      <c r="L120" s="22" t="n">
        <f aca="false">G120*I120-J120+K120</f>
        <v>50572</v>
      </c>
    </row>
    <row r="121" customFormat="false" ht="18.75" hidden="false" customHeight="true" outlineLevel="0" collapsed="false">
      <c r="A121" s="17" t="n">
        <v>117</v>
      </c>
      <c r="B121" s="18" t="s">
        <v>185</v>
      </c>
      <c r="C121" s="23" t="s">
        <v>186</v>
      </c>
      <c r="D121" s="9" t="s">
        <v>40</v>
      </c>
      <c r="E121" s="9" t="s">
        <v>459</v>
      </c>
      <c r="F121" s="18" t="s">
        <v>39</v>
      </c>
      <c r="G121" s="19" t="n">
        <v>553</v>
      </c>
      <c r="H121" s="18" t="s">
        <v>65</v>
      </c>
      <c r="I121" s="19" t="n">
        <v>16</v>
      </c>
      <c r="J121" s="19" t="n">
        <v>0</v>
      </c>
      <c r="K121" s="19" t="n">
        <v>0</v>
      </c>
      <c r="L121" s="19" t="n">
        <f aca="false">G121*I121-J121+K121</f>
        <v>8848</v>
      </c>
    </row>
    <row r="122" customFormat="false" ht="18.75" hidden="false" customHeight="true" outlineLevel="0" collapsed="false">
      <c r="A122" s="20" t="n">
        <v>118</v>
      </c>
      <c r="B122" s="21" t="s">
        <v>185</v>
      </c>
      <c r="C122" s="24" t="s">
        <v>186</v>
      </c>
      <c r="D122" s="13" t="s">
        <v>40</v>
      </c>
      <c r="E122" s="13" t="s">
        <v>72</v>
      </c>
      <c r="F122" s="21" t="s">
        <v>39</v>
      </c>
      <c r="G122" s="22" t="n">
        <v>707</v>
      </c>
      <c r="H122" s="21" t="s">
        <v>73</v>
      </c>
      <c r="I122" s="22" t="n">
        <v>19.5</v>
      </c>
      <c r="J122" s="22" t="n">
        <v>0</v>
      </c>
      <c r="K122" s="22" t="n">
        <v>0</v>
      </c>
      <c r="L122" s="22" t="n">
        <f aca="false">G122*I122-J122+K122</f>
        <v>13786.5</v>
      </c>
    </row>
    <row r="123" customFormat="false" ht="18.75" hidden="false" customHeight="true" outlineLevel="0" collapsed="false">
      <c r="A123" s="17" t="n">
        <v>119</v>
      </c>
      <c r="B123" s="18" t="s">
        <v>187</v>
      </c>
      <c r="C123" s="23" t="s">
        <v>188</v>
      </c>
      <c r="D123" s="9" t="s">
        <v>38</v>
      </c>
      <c r="E123" s="9" t="s">
        <v>486</v>
      </c>
      <c r="F123" s="18" t="s">
        <v>39</v>
      </c>
      <c r="G123" s="19" t="n">
        <v>4</v>
      </c>
      <c r="H123" s="18"/>
      <c r="I123" s="19" t="n">
        <v>850</v>
      </c>
      <c r="J123" s="19" t="n">
        <v>0</v>
      </c>
      <c r="K123" s="19" t="n">
        <v>0</v>
      </c>
      <c r="L123" s="19" t="n">
        <f aca="false">G123*I123-J123+K123</f>
        <v>3400</v>
      </c>
    </row>
    <row r="124" customFormat="false" ht="18.75" hidden="false" customHeight="true" outlineLevel="0" collapsed="false">
      <c r="A124" s="20" t="n">
        <v>120</v>
      </c>
      <c r="B124" s="21" t="s">
        <v>187</v>
      </c>
      <c r="C124" s="24" t="s">
        <v>188</v>
      </c>
      <c r="D124" s="13" t="s">
        <v>38</v>
      </c>
      <c r="E124" s="13" t="s">
        <v>487</v>
      </c>
      <c r="F124" s="21" t="s">
        <v>39</v>
      </c>
      <c r="G124" s="22" t="n">
        <v>3</v>
      </c>
      <c r="H124" s="21" t="s">
        <v>67</v>
      </c>
      <c r="I124" s="22" t="n">
        <v>1250</v>
      </c>
      <c r="J124" s="22" t="n">
        <v>0</v>
      </c>
      <c r="K124" s="22" t="n">
        <v>0</v>
      </c>
      <c r="L124" s="22" t="n">
        <f aca="false">G124*I124-J124+K124</f>
        <v>3750</v>
      </c>
    </row>
    <row r="125" customFormat="false" ht="18.75" hidden="false" customHeight="true" outlineLevel="0" collapsed="false">
      <c r="A125" s="17" t="n">
        <v>121</v>
      </c>
      <c r="B125" s="18" t="s">
        <v>189</v>
      </c>
      <c r="C125" s="23" t="s">
        <v>190</v>
      </c>
      <c r="D125" s="9" t="s">
        <v>38</v>
      </c>
      <c r="E125" s="9" t="s">
        <v>488</v>
      </c>
      <c r="F125" s="18" t="s">
        <v>39</v>
      </c>
      <c r="G125" s="19" t="n">
        <v>4.15</v>
      </c>
      <c r="H125" s="18" t="s">
        <v>489</v>
      </c>
      <c r="I125" s="19" t="n">
        <v>600</v>
      </c>
      <c r="J125" s="19" t="n">
        <v>0</v>
      </c>
      <c r="K125" s="19" t="n">
        <v>0</v>
      </c>
      <c r="L125" s="19" t="n">
        <f aca="false">G125*I125-J125+K125</f>
        <v>2490</v>
      </c>
    </row>
    <row r="126" customFormat="false" ht="18.75" hidden="false" customHeight="true" outlineLevel="0" collapsed="false">
      <c r="A126" s="20" t="n">
        <v>122</v>
      </c>
      <c r="B126" s="21" t="s">
        <v>189</v>
      </c>
      <c r="C126" s="24" t="s">
        <v>190</v>
      </c>
      <c r="D126" s="13" t="s">
        <v>38</v>
      </c>
      <c r="E126" s="13" t="s">
        <v>463</v>
      </c>
      <c r="F126" s="21" t="s">
        <v>39</v>
      </c>
      <c r="G126" s="22" t="n">
        <v>5</v>
      </c>
      <c r="H126" s="21" t="s">
        <v>67</v>
      </c>
      <c r="I126" s="22" t="n">
        <v>400</v>
      </c>
      <c r="J126" s="22" t="n">
        <v>0</v>
      </c>
      <c r="K126" s="22" t="n">
        <v>0</v>
      </c>
      <c r="L126" s="22" t="n">
        <f aca="false">G126*I126-J126+K126</f>
        <v>2000</v>
      </c>
    </row>
    <row r="127" customFormat="false" ht="18.75" hidden="false" customHeight="true" outlineLevel="0" collapsed="false">
      <c r="A127" s="17" t="n">
        <v>123</v>
      </c>
      <c r="B127" s="18" t="s">
        <v>189</v>
      </c>
      <c r="C127" s="23" t="s">
        <v>190</v>
      </c>
      <c r="D127" s="9" t="s">
        <v>38</v>
      </c>
      <c r="E127" s="9" t="s">
        <v>71</v>
      </c>
      <c r="F127" s="18" t="s">
        <v>39</v>
      </c>
      <c r="G127" s="19" t="n">
        <v>60</v>
      </c>
      <c r="H127" s="18" t="s">
        <v>67</v>
      </c>
      <c r="I127" s="19" t="n">
        <v>1700</v>
      </c>
      <c r="J127" s="19" t="n">
        <v>0</v>
      </c>
      <c r="K127" s="19" t="n">
        <v>0</v>
      </c>
      <c r="L127" s="19" t="n">
        <f aca="false">G127*I127-J127+K127</f>
        <v>102000</v>
      </c>
    </row>
    <row r="128" customFormat="false" ht="18.75" hidden="false" customHeight="true" outlineLevel="0" collapsed="false">
      <c r="A128" s="20" t="n">
        <v>124</v>
      </c>
      <c r="B128" s="21" t="s">
        <v>191</v>
      </c>
      <c r="C128" s="24" t="s">
        <v>192</v>
      </c>
      <c r="D128" s="13" t="s">
        <v>38</v>
      </c>
      <c r="E128" s="13" t="s">
        <v>459</v>
      </c>
      <c r="F128" s="21" t="s">
        <v>39</v>
      </c>
      <c r="G128" s="22" t="n">
        <v>563</v>
      </c>
      <c r="H128" s="21" t="s">
        <v>65</v>
      </c>
      <c r="I128" s="22" t="n">
        <v>16</v>
      </c>
      <c r="J128" s="22" t="n">
        <v>0</v>
      </c>
      <c r="K128" s="22" t="n">
        <v>0</v>
      </c>
      <c r="L128" s="22" t="n">
        <f aca="false">G128*I128-J128+K128</f>
        <v>9008</v>
      </c>
    </row>
    <row r="129" customFormat="false" ht="18.75" hidden="false" customHeight="true" outlineLevel="0" collapsed="false">
      <c r="A129" s="17" t="n">
        <v>125</v>
      </c>
      <c r="B129" s="18" t="s">
        <v>191</v>
      </c>
      <c r="C129" s="23" t="s">
        <v>192</v>
      </c>
      <c r="D129" s="9" t="s">
        <v>38</v>
      </c>
      <c r="E129" s="9" t="s">
        <v>66</v>
      </c>
      <c r="F129" s="18" t="s">
        <v>39</v>
      </c>
      <c r="G129" s="19" t="n">
        <v>500</v>
      </c>
      <c r="H129" s="18" t="s">
        <v>67</v>
      </c>
      <c r="I129" s="19" t="n">
        <v>255</v>
      </c>
      <c r="J129" s="19" t="n">
        <v>0</v>
      </c>
      <c r="K129" s="19" t="n">
        <v>0</v>
      </c>
      <c r="L129" s="19" t="n">
        <f aca="false">G129*I129-J129+K129</f>
        <v>127500</v>
      </c>
    </row>
    <row r="130" customFormat="false" ht="18.75" hidden="false" customHeight="true" outlineLevel="0" collapsed="false">
      <c r="A130" s="20" t="n">
        <v>126</v>
      </c>
      <c r="B130" s="21" t="s">
        <v>191</v>
      </c>
      <c r="C130" s="24" t="s">
        <v>192</v>
      </c>
      <c r="D130" s="13" t="s">
        <v>38</v>
      </c>
      <c r="E130" s="13" t="s">
        <v>457</v>
      </c>
      <c r="F130" s="21" t="s">
        <v>39</v>
      </c>
      <c r="G130" s="22" t="n">
        <v>1</v>
      </c>
      <c r="H130" s="21" t="s">
        <v>67</v>
      </c>
      <c r="I130" s="22" t="n">
        <v>4000</v>
      </c>
      <c r="J130" s="22" t="n">
        <v>0</v>
      </c>
      <c r="K130" s="22" t="n">
        <v>0</v>
      </c>
      <c r="L130" s="22" t="n">
        <f aca="false">G130*I130-J130+K130</f>
        <v>4000</v>
      </c>
    </row>
    <row r="131" customFormat="false" ht="18.75" hidden="false" customHeight="true" outlineLevel="0" collapsed="false">
      <c r="A131" s="17" t="n">
        <v>127</v>
      </c>
      <c r="B131" s="18" t="s">
        <v>191</v>
      </c>
      <c r="C131" s="23" t="s">
        <v>192</v>
      </c>
      <c r="D131" s="9" t="s">
        <v>38</v>
      </c>
      <c r="E131" s="9" t="s">
        <v>462</v>
      </c>
      <c r="F131" s="18" t="s">
        <v>39</v>
      </c>
      <c r="G131" s="19" t="n">
        <v>21</v>
      </c>
      <c r="H131" s="18" t="s">
        <v>67</v>
      </c>
      <c r="I131" s="19" t="n">
        <v>650</v>
      </c>
      <c r="J131" s="19" t="n">
        <v>0</v>
      </c>
      <c r="K131" s="19" t="n">
        <v>0</v>
      </c>
      <c r="L131" s="19" t="n">
        <f aca="false">G131*I131-J131+K131</f>
        <v>13650</v>
      </c>
    </row>
    <row r="132" customFormat="false" ht="18.75" hidden="false" customHeight="true" outlineLevel="0" collapsed="false">
      <c r="A132" s="20" t="n">
        <v>128</v>
      </c>
      <c r="B132" s="21" t="s">
        <v>191</v>
      </c>
      <c r="C132" s="24" t="s">
        <v>192</v>
      </c>
      <c r="D132" s="13" t="s">
        <v>38</v>
      </c>
      <c r="E132" s="13" t="s">
        <v>64</v>
      </c>
      <c r="F132" s="21" t="s">
        <v>39</v>
      </c>
      <c r="G132" s="22" t="n">
        <v>1064.5</v>
      </c>
      <c r="H132" s="21" t="s">
        <v>65</v>
      </c>
      <c r="I132" s="22" t="n">
        <v>15.5</v>
      </c>
      <c r="J132" s="22" t="n">
        <v>0</v>
      </c>
      <c r="K132" s="22" t="n">
        <v>0</v>
      </c>
      <c r="L132" s="22" t="n">
        <f aca="false">G132*I132-J132+K132</f>
        <v>16499.75</v>
      </c>
    </row>
    <row r="133" customFormat="false" ht="18.75" hidden="false" customHeight="true" outlineLevel="0" collapsed="false">
      <c r="A133" s="17" t="n">
        <v>129</v>
      </c>
      <c r="B133" s="18" t="s">
        <v>191</v>
      </c>
      <c r="C133" s="23" t="s">
        <v>192</v>
      </c>
      <c r="D133" s="9" t="s">
        <v>38</v>
      </c>
      <c r="E133" s="9" t="s">
        <v>75</v>
      </c>
      <c r="F133" s="18" t="s">
        <v>39</v>
      </c>
      <c r="G133" s="19" t="n">
        <v>531</v>
      </c>
      <c r="H133" s="18" t="s">
        <v>65</v>
      </c>
      <c r="I133" s="19" t="n">
        <v>17.5</v>
      </c>
      <c r="J133" s="19" t="n">
        <v>0</v>
      </c>
      <c r="K133" s="19" t="n">
        <v>0</v>
      </c>
      <c r="L133" s="19" t="n">
        <f aca="false">G133*I133-J133+K133</f>
        <v>9292.5</v>
      </c>
    </row>
    <row r="134" customFormat="false" ht="18.75" hidden="false" customHeight="true" outlineLevel="0" collapsed="false">
      <c r="A134" s="20" t="n">
        <v>130</v>
      </c>
      <c r="B134" s="21" t="s">
        <v>191</v>
      </c>
      <c r="C134" s="24" t="s">
        <v>192</v>
      </c>
      <c r="D134" s="13" t="s">
        <v>38</v>
      </c>
      <c r="E134" s="13" t="s">
        <v>453</v>
      </c>
      <c r="F134" s="21" t="s">
        <v>39</v>
      </c>
      <c r="G134" s="22" t="n">
        <v>4</v>
      </c>
      <c r="H134" s="21"/>
      <c r="I134" s="22" t="n">
        <v>1700</v>
      </c>
      <c r="J134" s="22" t="n">
        <v>0</v>
      </c>
      <c r="K134" s="22" t="n">
        <v>0</v>
      </c>
      <c r="L134" s="22" t="n">
        <f aca="false">G134*I134-J134+K134</f>
        <v>6800</v>
      </c>
    </row>
    <row r="135" customFormat="false" ht="18.75" hidden="false" customHeight="true" outlineLevel="0" collapsed="false">
      <c r="A135" s="17" t="n">
        <v>131</v>
      </c>
      <c r="B135" s="18" t="s">
        <v>191</v>
      </c>
      <c r="C135" s="23" t="s">
        <v>192</v>
      </c>
      <c r="D135" s="9" t="s">
        <v>38</v>
      </c>
      <c r="E135" s="9" t="s">
        <v>478</v>
      </c>
      <c r="F135" s="18" t="s">
        <v>39</v>
      </c>
      <c r="G135" s="19" t="n">
        <v>10</v>
      </c>
      <c r="H135" s="18" t="s">
        <v>67</v>
      </c>
      <c r="I135" s="19" t="n">
        <v>2000</v>
      </c>
      <c r="J135" s="19" t="n">
        <v>0</v>
      </c>
      <c r="K135" s="19" t="n">
        <v>0</v>
      </c>
      <c r="L135" s="19" t="n">
        <f aca="false">G135*I135-J135+K135</f>
        <v>20000</v>
      </c>
    </row>
    <row r="136" customFormat="false" ht="18.75" hidden="false" customHeight="true" outlineLevel="0" collapsed="false">
      <c r="A136" s="20" t="n">
        <v>132</v>
      </c>
      <c r="B136" s="21" t="s">
        <v>191</v>
      </c>
      <c r="C136" s="24" t="s">
        <v>192</v>
      </c>
      <c r="D136" s="13" t="s">
        <v>38</v>
      </c>
      <c r="E136" s="13" t="s">
        <v>69</v>
      </c>
      <c r="F136" s="21" t="s">
        <v>39</v>
      </c>
      <c r="G136" s="22" t="n">
        <v>10</v>
      </c>
      <c r="H136" s="21" t="s">
        <v>67</v>
      </c>
      <c r="I136" s="22" t="n">
        <v>5500</v>
      </c>
      <c r="J136" s="22" t="n">
        <v>0</v>
      </c>
      <c r="K136" s="22" t="n">
        <v>0</v>
      </c>
      <c r="L136" s="22" t="n">
        <f aca="false">G136*I136-J136+K136</f>
        <v>55000</v>
      </c>
    </row>
    <row r="137" customFormat="false" ht="18.75" hidden="false" customHeight="true" outlineLevel="0" collapsed="false">
      <c r="A137" s="17" t="n">
        <v>133</v>
      </c>
      <c r="B137" s="18" t="s">
        <v>191</v>
      </c>
      <c r="C137" s="23" t="s">
        <v>192</v>
      </c>
      <c r="D137" s="9" t="s">
        <v>38</v>
      </c>
      <c r="E137" s="9" t="s">
        <v>490</v>
      </c>
      <c r="F137" s="18" t="s">
        <v>39</v>
      </c>
      <c r="G137" s="19" t="n">
        <v>2</v>
      </c>
      <c r="H137" s="18" t="s">
        <v>67</v>
      </c>
      <c r="I137" s="19" t="n">
        <v>2100</v>
      </c>
      <c r="J137" s="19" t="n">
        <v>0</v>
      </c>
      <c r="K137" s="19" t="n">
        <v>0</v>
      </c>
      <c r="L137" s="19" t="n">
        <f aca="false">G137*I137-J137+K137</f>
        <v>4200</v>
      </c>
    </row>
    <row r="138" customFormat="false" ht="18.75" hidden="false" customHeight="true" outlineLevel="0" collapsed="false">
      <c r="A138" s="20" t="n">
        <v>134</v>
      </c>
      <c r="B138" s="21" t="s">
        <v>191</v>
      </c>
      <c r="C138" s="24" t="s">
        <v>192</v>
      </c>
      <c r="D138" s="13" t="s">
        <v>38</v>
      </c>
      <c r="E138" s="13" t="s">
        <v>491</v>
      </c>
      <c r="F138" s="21" t="s">
        <v>39</v>
      </c>
      <c r="G138" s="22" t="n">
        <v>2</v>
      </c>
      <c r="H138" s="21" t="s">
        <v>67</v>
      </c>
      <c r="I138" s="22" t="n">
        <v>2300</v>
      </c>
      <c r="J138" s="22" t="n">
        <v>0</v>
      </c>
      <c r="K138" s="22" t="n">
        <v>0</v>
      </c>
      <c r="L138" s="22" t="n">
        <f aca="false">G138*I138-J138+K138</f>
        <v>4600</v>
      </c>
    </row>
    <row r="139" customFormat="false" ht="18.75" hidden="false" customHeight="true" outlineLevel="0" collapsed="false">
      <c r="A139" s="17" t="n">
        <v>135</v>
      </c>
      <c r="B139" s="18" t="s">
        <v>191</v>
      </c>
      <c r="C139" s="23" t="s">
        <v>192</v>
      </c>
      <c r="D139" s="9" t="s">
        <v>38</v>
      </c>
      <c r="E139" s="9" t="s">
        <v>492</v>
      </c>
      <c r="F139" s="18" t="s">
        <v>39</v>
      </c>
      <c r="G139" s="19" t="n">
        <v>9</v>
      </c>
      <c r="H139" s="18" t="s">
        <v>67</v>
      </c>
      <c r="I139" s="19" t="n">
        <v>1400</v>
      </c>
      <c r="J139" s="19" t="n">
        <v>0</v>
      </c>
      <c r="K139" s="19" t="n">
        <v>0</v>
      </c>
      <c r="L139" s="19" t="n">
        <f aca="false">G139*I139-J139+K139</f>
        <v>12600</v>
      </c>
    </row>
    <row r="140" customFormat="false" ht="18.75" hidden="false" customHeight="true" outlineLevel="0" collapsed="false">
      <c r="A140" s="20" t="n">
        <v>136</v>
      </c>
      <c r="B140" s="21" t="s">
        <v>191</v>
      </c>
      <c r="C140" s="24" t="s">
        <v>192</v>
      </c>
      <c r="D140" s="13" t="s">
        <v>38</v>
      </c>
      <c r="E140" s="13" t="s">
        <v>64</v>
      </c>
      <c r="F140" s="21" t="s">
        <v>39</v>
      </c>
      <c r="G140" s="22" t="n">
        <v>333.5</v>
      </c>
      <c r="H140" s="21" t="s">
        <v>65</v>
      </c>
      <c r="I140" s="22" t="n">
        <v>16.5</v>
      </c>
      <c r="J140" s="22" t="n">
        <v>0</v>
      </c>
      <c r="K140" s="22" t="n">
        <v>0</v>
      </c>
      <c r="L140" s="22" t="n">
        <f aca="false">G140*I140-J140+K140</f>
        <v>5502.75</v>
      </c>
    </row>
    <row r="141" customFormat="false" ht="18.75" hidden="false" customHeight="true" outlineLevel="0" collapsed="false">
      <c r="A141" s="17" t="n">
        <v>137</v>
      </c>
      <c r="B141" s="18" t="s">
        <v>193</v>
      </c>
      <c r="C141" s="23" t="s">
        <v>194</v>
      </c>
      <c r="D141" s="9" t="s">
        <v>38</v>
      </c>
      <c r="E141" s="9" t="s">
        <v>472</v>
      </c>
      <c r="F141" s="18" t="s">
        <v>39</v>
      </c>
      <c r="G141" s="19" t="n">
        <v>100</v>
      </c>
      <c r="H141" s="18" t="s">
        <v>67</v>
      </c>
      <c r="I141" s="19" t="n">
        <v>55</v>
      </c>
      <c r="J141" s="19" t="n">
        <v>0</v>
      </c>
      <c r="K141" s="19" t="n">
        <v>0</v>
      </c>
      <c r="L141" s="19" t="n">
        <f aca="false">G141*I141-J141+K141</f>
        <v>5500</v>
      </c>
    </row>
    <row r="142" customFormat="false" ht="18.75" hidden="false" customHeight="true" outlineLevel="0" collapsed="false">
      <c r="A142" s="20" t="n">
        <v>138</v>
      </c>
      <c r="B142" s="21" t="s">
        <v>193</v>
      </c>
      <c r="C142" s="24" t="s">
        <v>194</v>
      </c>
      <c r="D142" s="13" t="s">
        <v>38</v>
      </c>
      <c r="E142" s="13" t="s">
        <v>64</v>
      </c>
      <c r="F142" s="21" t="s">
        <v>39</v>
      </c>
      <c r="G142" s="22" t="n">
        <v>1581.75</v>
      </c>
      <c r="H142" s="21" t="s">
        <v>65</v>
      </c>
      <c r="I142" s="22" t="n">
        <v>16.5</v>
      </c>
      <c r="J142" s="22" t="n">
        <v>0</v>
      </c>
      <c r="K142" s="22" t="n">
        <v>0</v>
      </c>
      <c r="L142" s="22" t="n">
        <f aca="false">G142*I142-J142+K142</f>
        <v>26098.875</v>
      </c>
    </row>
    <row r="143" customFormat="false" ht="18.75" hidden="false" customHeight="true" outlineLevel="0" collapsed="false">
      <c r="A143" s="17" t="n">
        <v>139</v>
      </c>
      <c r="B143" s="18" t="s">
        <v>193</v>
      </c>
      <c r="C143" s="23" t="s">
        <v>194</v>
      </c>
      <c r="D143" s="9" t="s">
        <v>38</v>
      </c>
      <c r="E143" s="9" t="s">
        <v>76</v>
      </c>
      <c r="F143" s="18" t="s">
        <v>39</v>
      </c>
      <c r="G143" s="19" t="n">
        <v>120</v>
      </c>
      <c r="H143" s="18" t="s">
        <v>67</v>
      </c>
      <c r="I143" s="19" t="n">
        <v>190</v>
      </c>
      <c r="J143" s="19" t="n">
        <v>0</v>
      </c>
      <c r="K143" s="19" t="n">
        <v>0</v>
      </c>
      <c r="L143" s="19" t="n">
        <f aca="false">G143*I143-J143+K143</f>
        <v>22800</v>
      </c>
    </row>
    <row r="144" customFormat="false" ht="18.75" hidden="false" customHeight="true" outlineLevel="0" collapsed="false">
      <c r="A144" s="20" t="n">
        <v>140</v>
      </c>
      <c r="B144" s="21" t="s">
        <v>193</v>
      </c>
      <c r="C144" s="24" t="s">
        <v>194</v>
      </c>
      <c r="D144" s="13" t="s">
        <v>38</v>
      </c>
      <c r="E144" s="13" t="s">
        <v>463</v>
      </c>
      <c r="F144" s="21" t="s">
        <v>39</v>
      </c>
      <c r="G144" s="22" t="n">
        <v>16</v>
      </c>
      <c r="H144" s="21" t="s">
        <v>67</v>
      </c>
      <c r="I144" s="22" t="n">
        <v>135</v>
      </c>
      <c r="J144" s="22" t="n">
        <v>0</v>
      </c>
      <c r="K144" s="22" t="n">
        <v>0</v>
      </c>
      <c r="L144" s="22" t="n">
        <f aca="false">G144*I144-J144+K144</f>
        <v>2160</v>
      </c>
    </row>
    <row r="145" customFormat="false" ht="18.75" hidden="false" customHeight="true" outlineLevel="0" collapsed="false">
      <c r="A145" s="17" t="n">
        <v>141</v>
      </c>
      <c r="B145" s="18" t="s">
        <v>193</v>
      </c>
      <c r="C145" s="23" t="s">
        <v>194</v>
      </c>
      <c r="D145" s="9" t="s">
        <v>38</v>
      </c>
      <c r="E145" s="9" t="s">
        <v>66</v>
      </c>
      <c r="F145" s="18" t="s">
        <v>39</v>
      </c>
      <c r="G145" s="19" t="n">
        <v>50</v>
      </c>
      <c r="H145" s="18" t="s">
        <v>67</v>
      </c>
      <c r="I145" s="19" t="n">
        <v>255</v>
      </c>
      <c r="J145" s="19" t="n">
        <v>0</v>
      </c>
      <c r="K145" s="19" t="n">
        <v>0</v>
      </c>
      <c r="L145" s="19" t="n">
        <f aca="false">G145*I145-J145+K145</f>
        <v>12750</v>
      </c>
    </row>
    <row r="146" customFormat="false" ht="18.75" hidden="false" customHeight="true" outlineLevel="0" collapsed="false">
      <c r="A146" s="20" t="n">
        <v>142</v>
      </c>
      <c r="B146" s="21" t="s">
        <v>193</v>
      </c>
      <c r="C146" s="24" t="s">
        <v>194</v>
      </c>
      <c r="D146" s="13" t="s">
        <v>38</v>
      </c>
      <c r="E146" s="13" t="s">
        <v>493</v>
      </c>
      <c r="F146" s="21" t="s">
        <v>39</v>
      </c>
      <c r="G146" s="22" t="n">
        <v>6</v>
      </c>
      <c r="H146" s="21" t="s">
        <v>67</v>
      </c>
      <c r="I146" s="22" t="n">
        <v>55</v>
      </c>
      <c r="J146" s="22" t="n">
        <v>0</v>
      </c>
      <c r="K146" s="22" t="n">
        <v>0</v>
      </c>
      <c r="L146" s="22" t="n">
        <f aca="false">G146*I146-J146+K146</f>
        <v>330</v>
      </c>
    </row>
    <row r="147" customFormat="false" ht="18.75" hidden="false" customHeight="true" outlineLevel="0" collapsed="false">
      <c r="A147" s="17" t="n">
        <v>143</v>
      </c>
      <c r="B147" s="18" t="s">
        <v>195</v>
      </c>
      <c r="C147" s="23" t="s">
        <v>196</v>
      </c>
      <c r="D147" s="9" t="s">
        <v>40</v>
      </c>
      <c r="E147" s="9" t="s">
        <v>470</v>
      </c>
      <c r="F147" s="18" t="s">
        <v>39</v>
      </c>
      <c r="G147" s="19" t="n">
        <v>981</v>
      </c>
      <c r="H147" s="18" t="s">
        <v>73</v>
      </c>
      <c r="I147" s="19" t="n">
        <v>10</v>
      </c>
      <c r="J147" s="19" t="n">
        <v>0</v>
      </c>
      <c r="K147" s="19" t="n">
        <v>0</v>
      </c>
      <c r="L147" s="19" t="n">
        <f aca="false">G147*I147-J147+K147</f>
        <v>9810</v>
      </c>
    </row>
    <row r="148" customFormat="false" ht="18.75" hidden="false" customHeight="true" outlineLevel="0" collapsed="false">
      <c r="A148" s="20" t="n">
        <v>144</v>
      </c>
      <c r="B148" s="21" t="s">
        <v>195</v>
      </c>
      <c r="C148" s="24" t="s">
        <v>196</v>
      </c>
      <c r="D148" s="13" t="s">
        <v>40</v>
      </c>
      <c r="E148" s="13" t="s">
        <v>449</v>
      </c>
      <c r="F148" s="21" t="s">
        <v>39</v>
      </c>
      <c r="G148" s="22" t="n">
        <v>910</v>
      </c>
      <c r="H148" s="21" t="s">
        <v>73</v>
      </c>
      <c r="I148" s="22" t="n">
        <v>10</v>
      </c>
      <c r="J148" s="22" t="n">
        <v>0</v>
      </c>
      <c r="K148" s="22" t="n">
        <v>0</v>
      </c>
      <c r="L148" s="22" t="n">
        <f aca="false">G148*I148-J148+K148</f>
        <v>9100</v>
      </c>
    </row>
    <row r="149" customFormat="false" ht="18.75" hidden="false" customHeight="true" outlineLevel="0" collapsed="false">
      <c r="A149" s="17" t="n">
        <v>145</v>
      </c>
      <c r="B149" s="18" t="s">
        <v>195</v>
      </c>
      <c r="C149" s="23" t="s">
        <v>196</v>
      </c>
      <c r="D149" s="9" t="s">
        <v>40</v>
      </c>
      <c r="E149" s="9" t="s">
        <v>64</v>
      </c>
      <c r="F149" s="18" t="s">
        <v>39</v>
      </c>
      <c r="G149" s="19" t="n">
        <v>1270</v>
      </c>
      <c r="H149" s="18" t="s">
        <v>65</v>
      </c>
      <c r="I149" s="19" t="n">
        <v>15.5</v>
      </c>
      <c r="J149" s="19" t="n">
        <v>0</v>
      </c>
      <c r="K149" s="19" t="n">
        <v>0</v>
      </c>
      <c r="L149" s="19" t="n">
        <f aca="false">G149*I149-J149+K149</f>
        <v>19685</v>
      </c>
    </row>
    <row r="150" customFormat="false" ht="18.75" hidden="false" customHeight="true" outlineLevel="0" collapsed="false">
      <c r="A150" s="20" t="n">
        <v>146</v>
      </c>
      <c r="B150" s="21" t="s">
        <v>195</v>
      </c>
      <c r="C150" s="24" t="s">
        <v>196</v>
      </c>
      <c r="D150" s="13" t="s">
        <v>40</v>
      </c>
      <c r="E150" s="13" t="s">
        <v>68</v>
      </c>
      <c r="F150" s="21" t="s">
        <v>39</v>
      </c>
      <c r="G150" s="22" t="n">
        <v>1114.5</v>
      </c>
      <c r="H150" s="21" t="s">
        <v>65</v>
      </c>
      <c r="I150" s="22" t="n">
        <v>16</v>
      </c>
      <c r="J150" s="22" t="n">
        <v>0</v>
      </c>
      <c r="K150" s="22" t="n">
        <v>0</v>
      </c>
      <c r="L150" s="22" t="n">
        <f aca="false">G150*I150-J150+K150</f>
        <v>17832</v>
      </c>
    </row>
    <row r="151" customFormat="false" ht="18.75" hidden="false" customHeight="true" outlineLevel="0" collapsed="false">
      <c r="A151" s="17" t="n">
        <v>147</v>
      </c>
      <c r="B151" s="18" t="s">
        <v>195</v>
      </c>
      <c r="C151" s="23" t="s">
        <v>196</v>
      </c>
      <c r="D151" s="9" t="s">
        <v>40</v>
      </c>
      <c r="E151" s="9" t="s">
        <v>456</v>
      </c>
      <c r="F151" s="18" t="s">
        <v>39</v>
      </c>
      <c r="G151" s="19" t="n">
        <v>144.1</v>
      </c>
      <c r="H151" s="18" t="s">
        <v>65</v>
      </c>
      <c r="I151" s="19" t="n">
        <v>55</v>
      </c>
      <c r="J151" s="19" t="n">
        <v>0</v>
      </c>
      <c r="K151" s="19" t="n">
        <v>0</v>
      </c>
      <c r="L151" s="19" t="n">
        <f aca="false">G151*I151-J151+K151</f>
        <v>7925.5</v>
      </c>
    </row>
    <row r="152" customFormat="false" ht="18.75" hidden="false" customHeight="true" outlineLevel="0" collapsed="false">
      <c r="A152" s="20" t="n">
        <v>148</v>
      </c>
      <c r="B152" s="21" t="s">
        <v>197</v>
      </c>
      <c r="C152" s="24" t="s">
        <v>198</v>
      </c>
      <c r="D152" s="13" t="s">
        <v>38</v>
      </c>
      <c r="E152" s="13" t="s">
        <v>68</v>
      </c>
      <c r="F152" s="21" t="s">
        <v>39</v>
      </c>
      <c r="G152" s="22" t="n">
        <v>4792.5</v>
      </c>
      <c r="H152" s="21" t="s">
        <v>65</v>
      </c>
      <c r="I152" s="22" t="n">
        <v>16.5</v>
      </c>
      <c r="J152" s="22" t="n">
        <v>0</v>
      </c>
      <c r="K152" s="22" t="n">
        <v>0</v>
      </c>
      <c r="L152" s="22" t="n">
        <f aca="false">G152*I152-J152+K152</f>
        <v>79076.25</v>
      </c>
    </row>
    <row r="153" customFormat="false" ht="18.75" hidden="false" customHeight="true" outlineLevel="0" collapsed="false">
      <c r="A153" s="17" t="n">
        <v>149</v>
      </c>
      <c r="B153" s="18" t="s">
        <v>197</v>
      </c>
      <c r="C153" s="23" t="s">
        <v>198</v>
      </c>
      <c r="D153" s="9" t="s">
        <v>38</v>
      </c>
      <c r="E153" s="9" t="s">
        <v>64</v>
      </c>
      <c r="F153" s="18" t="s">
        <v>39</v>
      </c>
      <c r="G153" s="19" t="n">
        <v>531</v>
      </c>
      <c r="H153" s="18" t="s">
        <v>65</v>
      </c>
      <c r="I153" s="19" t="n">
        <v>15.5</v>
      </c>
      <c r="J153" s="19" t="n">
        <v>0</v>
      </c>
      <c r="K153" s="19" t="n">
        <v>0</v>
      </c>
      <c r="L153" s="19" t="n">
        <f aca="false">G153*I153-J153+K153</f>
        <v>8230.5</v>
      </c>
    </row>
    <row r="154" customFormat="false" ht="18.75" hidden="false" customHeight="true" outlineLevel="0" collapsed="false">
      <c r="A154" s="20" t="n">
        <v>150</v>
      </c>
      <c r="B154" s="21" t="s">
        <v>197</v>
      </c>
      <c r="C154" s="24" t="s">
        <v>198</v>
      </c>
      <c r="D154" s="13" t="s">
        <v>38</v>
      </c>
      <c r="E154" s="13" t="s">
        <v>494</v>
      </c>
      <c r="F154" s="21" t="s">
        <v>39</v>
      </c>
      <c r="G154" s="22" t="n">
        <v>6600</v>
      </c>
      <c r="H154" s="21" t="s">
        <v>67</v>
      </c>
      <c r="I154" s="22" t="n">
        <v>1</v>
      </c>
      <c r="J154" s="22" t="n">
        <v>0</v>
      </c>
      <c r="K154" s="22" t="n">
        <v>0</v>
      </c>
      <c r="L154" s="22" t="n">
        <f aca="false">G154*I154-J154+K154</f>
        <v>6600</v>
      </c>
    </row>
    <row r="155" customFormat="false" ht="18.75" hidden="false" customHeight="true" outlineLevel="0" collapsed="false">
      <c r="A155" s="17" t="n">
        <v>151</v>
      </c>
      <c r="B155" s="18" t="s">
        <v>199</v>
      </c>
      <c r="C155" s="23" t="s">
        <v>200</v>
      </c>
      <c r="D155" s="9" t="s">
        <v>38</v>
      </c>
      <c r="E155" s="9" t="s">
        <v>64</v>
      </c>
      <c r="F155" s="18" t="s">
        <v>39</v>
      </c>
      <c r="G155" s="19" t="n">
        <v>6339.25</v>
      </c>
      <c r="H155" s="18" t="s">
        <v>65</v>
      </c>
      <c r="I155" s="19" t="n">
        <v>16.5</v>
      </c>
      <c r="J155" s="19" t="n">
        <v>0</v>
      </c>
      <c r="K155" s="19" t="n">
        <v>0</v>
      </c>
      <c r="L155" s="19" t="n">
        <f aca="false">G155*I155-J155+K155</f>
        <v>104597.625</v>
      </c>
    </row>
    <row r="156" customFormat="false" ht="18.75" hidden="false" customHeight="true" outlineLevel="0" collapsed="false">
      <c r="A156" s="20" t="n">
        <v>152</v>
      </c>
      <c r="B156" s="21" t="s">
        <v>201</v>
      </c>
      <c r="C156" s="24" t="s">
        <v>200</v>
      </c>
      <c r="D156" s="13" t="s">
        <v>38</v>
      </c>
      <c r="E156" s="13" t="s">
        <v>66</v>
      </c>
      <c r="F156" s="21" t="s">
        <v>39</v>
      </c>
      <c r="G156" s="22" t="n">
        <v>450</v>
      </c>
      <c r="H156" s="21" t="s">
        <v>67</v>
      </c>
      <c r="I156" s="22" t="n">
        <v>255</v>
      </c>
      <c r="J156" s="22" t="n">
        <v>0</v>
      </c>
      <c r="K156" s="22" t="n">
        <v>0</v>
      </c>
      <c r="L156" s="22" t="n">
        <f aca="false">G156*I156-J156+K156</f>
        <v>114750</v>
      </c>
    </row>
    <row r="157" customFormat="false" ht="18.75" hidden="false" customHeight="true" outlineLevel="0" collapsed="false">
      <c r="A157" s="17" t="n">
        <v>153</v>
      </c>
      <c r="B157" s="18" t="s">
        <v>202</v>
      </c>
      <c r="C157" s="23" t="s">
        <v>203</v>
      </c>
      <c r="D157" s="9" t="s">
        <v>38</v>
      </c>
      <c r="E157" s="9" t="s">
        <v>64</v>
      </c>
      <c r="F157" s="18" t="s">
        <v>39</v>
      </c>
      <c r="G157" s="19" t="n">
        <v>6972.5</v>
      </c>
      <c r="H157" s="18" t="s">
        <v>65</v>
      </c>
      <c r="I157" s="19" t="n">
        <v>15</v>
      </c>
      <c r="J157" s="19" t="n">
        <v>0</v>
      </c>
      <c r="K157" s="19" t="n">
        <v>0</v>
      </c>
      <c r="L157" s="19" t="n">
        <f aca="false">G157*I157-J157+K157</f>
        <v>104587.5</v>
      </c>
    </row>
    <row r="158" customFormat="false" ht="18.75" hidden="false" customHeight="true" outlineLevel="0" collapsed="false">
      <c r="A158" s="20" t="n">
        <v>154</v>
      </c>
      <c r="B158" s="21" t="s">
        <v>202</v>
      </c>
      <c r="C158" s="24" t="s">
        <v>203</v>
      </c>
      <c r="D158" s="13" t="s">
        <v>38</v>
      </c>
      <c r="E158" s="13" t="s">
        <v>74</v>
      </c>
      <c r="F158" s="21" t="s">
        <v>39</v>
      </c>
      <c r="G158" s="22" t="n">
        <v>6</v>
      </c>
      <c r="H158" s="21" t="s">
        <v>67</v>
      </c>
      <c r="I158" s="22" t="n">
        <v>790</v>
      </c>
      <c r="J158" s="22" t="n">
        <v>0</v>
      </c>
      <c r="K158" s="22" t="n">
        <v>0</v>
      </c>
      <c r="L158" s="22" t="n">
        <f aca="false">G158*I158-J158+K158</f>
        <v>4740</v>
      </c>
    </row>
    <row r="159" customFormat="false" ht="18.75" hidden="false" customHeight="true" outlineLevel="0" collapsed="false">
      <c r="A159" s="17" t="n">
        <v>155</v>
      </c>
      <c r="B159" s="18" t="s">
        <v>202</v>
      </c>
      <c r="C159" s="23" t="s">
        <v>203</v>
      </c>
      <c r="D159" s="9" t="s">
        <v>38</v>
      </c>
      <c r="E159" s="9" t="s">
        <v>495</v>
      </c>
      <c r="F159" s="18" t="s">
        <v>39</v>
      </c>
      <c r="G159" s="19" t="n">
        <v>4</v>
      </c>
      <c r="H159" s="18" t="s">
        <v>67</v>
      </c>
      <c r="I159" s="19" t="n">
        <v>850</v>
      </c>
      <c r="J159" s="19" t="n">
        <v>0</v>
      </c>
      <c r="K159" s="19" t="n">
        <v>0</v>
      </c>
      <c r="L159" s="19" t="n">
        <f aca="false">G159*I159-J159+K159</f>
        <v>3400</v>
      </c>
    </row>
    <row r="160" customFormat="false" ht="18.75" hidden="false" customHeight="true" outlineLevel="0" collapsed="false">
      <c r="A160" s="20" t="n">
        <v>156</v>
      </c>
      <c r="B160" s="21" t="s">
        <v>204</v>
      </c>
      <c r="C160" s="24" t="s">
        <v>203</v>
      </c>
      <c r="D160" s="13" t="s">
        <v>40</v>
      </c>
      <c r="E160" s="13" t="s">
        <v>64</v>
      </c>
      <c r="F160" s="21" t="s">
        <v>39</v>
      </c>
      <c r="G160" s="22" t="n">
        <v>6526.5</v>
      </c>
      <c r="H160" s="21" t="s">
        <v>65</v>
      </c>
      <c r="I160" s="22" t="n">
        <v>15.25</v>
      </c>
      <c r="J160" s="22" t="n">
        <v>0</v>
      </c>
      <c r="K160" s="22" t="n">
        <v>0</v>
      </c>
      <c r="L160" s="22" t="n">
        <f aca="false">G160*I160-J160+K160</f>
        <v>99529.125</v>
      </c>
    </row>
    <row r="161" customFormat="false" ht="18.75" hidden="false" customHeight="true" outlineLevel="0" collapsed="false">
      <c r="A161" s="17" t="n">
        <v>157</v>
      </c>
      <c r="B161" s="18" t="s">
        <v>205</v>
      </c>
      <c r="C161" s="23" t="s">
        <v>206</v>
      </c>
      <c r="D161" s="9" t="s">
        <v>46</v>
      </c>
      <c r="E161" s="9" t="s">
        <v>64</v>
      </c>
      <c r="F161" s="18" t="s">
        <v>39</v>
      </c>
      <c r="G161" s="19" t="n">
        <v>5241.5</v>
      </c>
      <c r="H161" s="18" t="s">
        <v>65</v>
      </c>
      <c r="I161" s="19" t="n">
        <v>15.25</v>
      </c>
      <c r="J161" s="19" t="n">
        <v>0</v>
      </c>
      <c r="K161" s="19" t="n">
        <v>0</v>
      </c>
      <c r="L161" s="19" t="n">
        <f aca="false">G161*I161-J161+K161</f>
        <v>79932.875</v>
      </c>
    </row>
    <row r="162" customFormat="false" ht="18.75" hidden="false" customHeight="true" outlineLevel="0" collapsed="false">
      <c r="A162" s="20" t="n">
        <v>158</v>
      </c>
      <c r="B162" s="21" t="s">
        <v>207</v>
      </c>
      <c r="C162" s="24" t="s">
        <v>208</v>
      </c>
      <c r="D162" s="13" t="s">
        <v>209</v>
      </c>
      <c r="E162" s="13" t="s">
        <v>496</v>
      </c>
      <c r="F162" s="21" t="s">
        <v>39</v>
      </c>
      <c r="G162" s="22" t="n">
        <v>2</v>
      </c>
      <c r="H162" s="21" t="s">
        <v>67</v>
      </c>
      <c r="I162" s="22" t="n">
        <v>24000</v>
      </c>
      <c r="J162" s="22" t="n">
        <v>0</v>
      </c>
      <c r="K162" s="22" t="n">
        <v>0</v>
      </c>
      <c r="L162" s="22" t="n">
        <f aca="false">G162*I162-J162+K162</f>
        <v>48000</v>
      </c>
    </row>
    <row r="163" customFormat="false" ht="18.75" hidden="false" customHeight="true" outlineLevel="0" collapsed="false">
      <c r="A163" s="17" t="n">
        <v>159</v>
      </c>
      <c r="B163" s="18" t="s">
        <v>210</v>
      </c>
      <c r="C163" s="23" t="s">
        <v>211</v>
      </c>
      <c r="D163" s="9" t="s">
        <v>40</v>
      </c>
      <c r="E163" s="9" t="s">
        <v>64</v>
      </c>
      <c r="F163" s="18" t="s">
        <v>39</v>
      </c>
      <c r="G163" s="19" t="n">
        <v>6420.25</v>
      </c>
      <c r="H163" s="18" t="s">
        <v>65</v>
      </c>
      <c r="I163" s="19" t="n">
        <v>16</v>
      </c>
      <c r="J163" s="19" t="n">
        <v>0</v>
      </c>
      <c r="K163" s="19" t="n">
        <v>0</v>
      </c>
      <c r="L163" s="19" t="n">
        <f aca="false">G163*I163-J163+K163</f>
        <v>102724</v>
      </c>
    </row>
    <row r="164" customFormat="false" ht="18.75" hidden="false" customHeight="true" outlineLevel="0" collapsed="false">
      <c r="A164" s="20" t="n">
        <v>160</v>
      </c>
      <c r="B164" s="21" t="s">
        <v>212</v>
      </c>
      <c r="C164" s="24" t="s">
        <v>213</v>
      </c>
      <c r="D164" s="13" t="s">
        <v>38</v>
      </c>
      <c r="E164" s="13" t="s">
        <v>64</v>
      </c>
      <c r="F164" s="21" t="s">
        <v>39</v>
      </c>
      <c r="G164" s="22" t="n">
        <v>6401.5</v>
      </c>
      <c r="H164" s="21" t="s">
        <v>65</v>
      </c>
      <c r="I164" s="22" t="n">
        <v>16.5</v>
      </c>
      <c r="J164" s="22" t="n">
        <v>0</v>
      </c>
      <c r="K164" s="22" t="n">
        <v>0</v>
      </c>
      <c r="L164" s="22" t="n">
        <f aca="false">G164*I164-J164+K164</f>
        <v>105624.75</v>
      </c>
    </row>
    <row r="165" customFormat="false" ht="18.75" hidden="false" customHeight="true" outlineLevel="0" collapsed="false">
      <c r="A165" s="17" t="n">
        <v>161</v>
      </c>
      <c r="B165" s="18" t="s">
        <v>212</v>
      </c>
      <c r="C165" s="23" t="s">
        <v>213</v>
      </c>
      <c r="D165" s="9" t="s">
        <v>38</v>
      </c>
      <c r="E165" s="9" t="s">
        <v>459</v>
      </c>
      <c r="F165" s="18" t="s">
        <v>39</v>
      </c>
      <c r="G165" s="19" t="n">
        <v>542</v>
      </c>
      <c r="H165" s="18" t="s">
        <v>65</v>
      </c>
      <c r="I165" s="19" t="n">
        <v>16</v>
      </c>
      <c r="J165" s="19" t="n">
        <v>0</v>
      </c>
      <c r="K165" s="19" t="n">
        <v>0</v>
      </c>
      <c r="L165" s="19" t="n">
        <f aca="false">G165*I165-J165+K165</f>
        <v>8672</v>
      </c>
    </row>
    <row r="166" customFormat="false" ht="18.75" hidden="false" customHeight="true" outlineLevel="0" collapsed="false">
      <c r="A166" s="20" t="n">
        <v>162</v>
      </c>
      <c r="B166" s="21" t="s">
        <v>214</v>
      </c>
      <c r="C166" s="24" t="s">
        <v>215</v>
      </c>
      <c r="D166" s="13" t="s">
        <v>38</v>
      </c>
      <c r="E166" s="13" t="s">
        <v>66</v>
      </c>
      <c r="F166" s="21" t="s">
        <v>39</v>
      </c>
      <c r="G166" s="22" t="n">
        <v>600</v>
      </c>
      <c r="H166" s="21" t="s">
        <v>67</v>
      </c>
      <c r="I166" s="22" t="n">
        <v>255</v>
      </c>
      <c r="J166" s="22" t="n">
        <v>0</v>
      </c>
      <c r="K166" s="22" t="n">
        <v>0</v>
      </c>
      <c r="L166" s="22" t="n">
        <f aca="false">G166*I166-J166+K166</f>
        <v>153000</v>
      </c>
    </row>
    <row r="167" customFormat="false" ht="18.75" hidden="false" customHeight="true" outlineLevel="0" collapsed="false">
      <c r="A167" s="17" t="n">
        <v>163</v>
      </c>
      <c r="B167" s="18" t="s">
        <v>216</v>
      </c>
      <c r="C167" s="23" t="s">
        <v>217</v>
      </c>
      <c r="D167" s="9" t="s">
        <v>38</v>
      </c>
      <c r="E167" s="9" t="s">
        <v>64</v>
      </c>
      <c r="F167" s="18" t="s">
        <v>39</v>
      </c>
      <c r="G167" s="19" t="n">
        <v>3366.25</v>
      </c>
      <c r="H167" s="18" t="s">
        <v>65</v>
      </c>
      <c r="I167" s="19" t="n">
        <v>16.5</v>
      </c>
      <c r="J167" s="19" t="n">
        <v>0</v>
      </c>
      <c r="K167" s="19" t="n">
        <v>0</v>
      </c>
      <c r="L167" s="19" t="n">
        <f aca="false">G167*I167-J167+K167</f>
        <v>55543.125</v>
      </c>
    </row>
    <row r="168" customFormat="false" ht="18.75" hidden="false" customHeight="true" outlineLevel="0" collapsed="false">
      <c r="A168" s="20" t="n">
        <v>164</v>
      </c>
      <c r="B168" s="21" t="s">
        <v>216</v>
      </c>
      <c r="C168" s="24" t="s">
        <v>217</v>
      </c>
      <c r="D168" s="13" t="s">
        <v>38</v>
      </c>
      <c r="E168" s="13" t="s">
        <v>481</v>
      </c>
      <c r="F168" s="21" t="s">
        <v>39</v>
      </c>
      <c r="G168" s="22" t="n">
        <v>7</v>
      </c>
      <c r="H168" s="21" t="s">
        <v>67</v>
      </c>
      <c r="I168" s="22" t="n">
        <v>325</v>
      </c>
      <c r="J168" s="22" t="n">
        <v>0</v>
      </c>
      <c r="K168" s="22" t="n">
        <v>0</v>
      </c>
      <c r="L168" s="22" t="n">
        <f aca="false">G168*I168-J168+K168</f>
        <v>2275</v>
      </c>
    </row>
    <row r="169" customFormat="false" ht="18.75" hidden="false" customHeight="true" outlineLevel="0" collapsed="false">
      <c r="A169" s="17" t="n">
        <v>165</v>
      </c>
      <c r="B169" s="18" t="s">
        <v>218</v>
      </c>
      <c r="C169" s="23" t="s">
        <v>219</v>
      </c>
      <c r="D169" s="9" t="s">
        <v>38</v>
      </c>
      <c r="E169" s="9" t="s">
        <v>74</v>
      </c>
      <c r="F169" s="18" t="s">
        <v>39</v>
      </c>
      <c r="G169" s="19" t="n">
        <v>100</v>
      </c>
      <c r="H169" s="18" t="s">
        <v>67</v>
      </c>
      <c r="I169" s="19" t="n">
        <v>790</v>
      </c>
      <c r="J169" s="19" t="n">
        <v>0</v>
      </c>
      <c r="K169" s="19" t="n">
        <v>0</v>
      </c>
      <c r="L169" s="19" t="n">
        <f aca="false">G169*I169-J169+K169</f>
        <v>79000</v>
      </c>
    </row>
    <row r="170" customFormat="false" ht="18.75" hidden="false" customHeight="true" outlineLevel="0" collapsed="false">
      <c r="A170" s="20" t="n">
        <v>166</v>
      </c>
      <c r="B170" s="21" t="s">
        <v>218</v>
      </c>
      <c r="C170" s="24" t="s">
        <v>219</v>
      </c>
      <c r="D170" s="13" t="s">
        <v>38</v>
      </c>
      <c r="E170" s="13" t="s">
        <v>475</v>
      </c>
      <c r="F170" s="21" t="s">
        <v>39</v>
      </c>
      <c r="G170" s="22" t="n">
        <v>3</v>
      </c>
      <c r="H170" s="21" t="s">
        <v>67</v>
      </c>
      <c r="I170" s="22" t="n">
        <v>850</v>
      </c>
      <c r="J170" s="22" t="n">
        <v>0</v>
      </c>
      <c r="K170" s="22" t="n">
        <v>0</v>
      </c>
      <c r="L170" s="22" t="n">
        <f aca="false">G170*I170-J170+K170</f>
        <v>2550</v>
      </c>
    </row>
    <row r="171" customFormat="false" ht="18.75" hidden="false" customHeight="true" outlineLevel="0" collapsed="false">
      <c r="A171" s="17" t="n">
        <v>167</v>
      </c>
      <c r="B171" s="18" t="s">
        <v>218</v>
      </c>
      <c r="C171" s="23" t="s">
        <v>219</v>
      </c>
      <c r="D171" s="9" t="s">
        <v>38</v>
      </c>
      <c r="E171" s="9" t="s">
        <v>494</v>
      </c>
      <c r="F171" s="18" t="s">
        <v>39</v>
      </c>
      <c r="G171" s="19" t="n">
        <v>1</v>
      </c>
      <c r="H171" s="18" t="s">
        <v>67</v>
      </c>
      <c r="I171" s="19" t="n">
        <v>6600</v>
      </c>
      <c r="J171" s="19" t="n">
        <v>0</v>
      </c>
      <c r="K171" s="19" t="n">
        <v>0</v>
      </c>
      <c r="L171" s="19" t="n">
        <f aca="false">G171*I171-J171+K171</f>
        <v>6600</v>
      </c>
    </row>
    <row r="172" customFormat="false" ht="18.75" hidden="false" customHeight="true" outlineLevel="0" collapsed="false">
      <c r="A172" s="20" t="n">
        <v>168</v>
      </c>
      <c r="B172" s="21" t="s">
        <v>220</v>
      </c>
      <c r="C172" s="24" t="s">
        <v>221</v>
      </c>
      <c r="D172" s="13" t="s">
        <v>38</v>
      </c>
      <c r="E172" s="13" t="s">
        <v>461</v>
      </c>
      <c r="F172" s="21" t="s">
        <v>39</v>
      </c>
      <c r="G172" s="22" t="n">
        <v>30</v>
      </c>
      <c r="H172" s="21" t="s">
        <v>67</v>
      </c>
      <c r="I172" s="22" t="n">
        <v>800</v>
      </c>
      <c r="J172" s="22" t="n">
        <v>0</v>
      </c>
      <c r="K172" s="22" t="n">
        <v>0</v>
      </c>
      <c r="L172" s="22" t="n">
        <f aca="false">G172*I172-J172+K172</f>
        <v>24000</v>
      </c>
    </row>
    <row r="173" customFormat="false" ht="18.75" hidden="false" customHeight="true" outlineLevel="0" collapsed="false">
      <c r="A173" s="17" t="n">
        <v>169</v>
      </c>
      <c r="B173" s="18" t="s">
        <v>220</v>
      </c>
      <c r="C173" s="23" t="s">
        <v>221</v>
      </c>
      <c r="D173" s="9" t="s">
        <v>38</v>
      </c>
      <c r="E173" s="9" t="s">
        <v>497</v>
      </c>
      <c r="F173" s="18" t="s">
        <v>39</v>
      </c>
      <c r="G173" s="19" t="n">
        <v>20</v>
      </c>
      <c r="H173" s="18" t="s">
        <v>67</v>
      </c>
      <c r="I173" s="19" t="n">
        <v>660</v>
      </c>
      <c r="J173" s="19" t="n">
        <v>0</v>
      </c>
      <c r="K173" s="19" t="n">
        <v>0</v>
      </c>
      <c r="L173" s="19" t="n">
        <f aca="false">G173*I173-J173+K173</f>
        <v>13200</v>
      </c>
    </row>
    <row r="174" customFormat="false" ht="18.75" hidden="false" customHeight="true" outlineLevel="0" collapsed="false">
      <c r="A174" s="20" t="n">
        <v>170</v>
      </c>
      <c r="B174" s="21" t="s">
        <v>220</v>
      </c>
      <c r="C174" s="24" t="s">
        <v>221</v>
      </c>
      <c r="D174" s="13" t="s">
        <v>38</v>
      </c>
      <c r="E174" s="13" t="s">
        <v>69</v>
      </c>
      <c r="F174" s="21" t="s">
        <v>39</v>
      </c>
      <c r="G174" s="22" t="n">
        <v>15</v>
      </c>
      <c r="H174" s="21" t="s">
        <v>67</v>
      </c>
      <c r="I174" s="22" t="n">
        <v>5500</v>
      </c>
      <c r="J174" s="22" t="n">
        <v>0</v>
      </c>
      <c r="K174" s="22" t="n">
        <v>0</v>
      </c>
      <c r="L174" s="22" t="n">
        <f aca="false">G174*I174-J174+K174</f>
        <v>82500</v>
      </c>
    </row>
    <row r="175" customFormat="false" ht="18.75" hidden="false" customHeight="true" outlineLevel="0" collapsed="false">
      <c r="A175" s="17" t="n">
        <v>171</v>
      </c>
      <c r="B175" s="18" t="s">
        <v>220</v>
      </c>
      <c r="C175" s="23" t="s">
        <v>221</v>
      </c>
      <c r="D175" s="9" t="s">
        <v>38</v>
      </c>
      <c r="E175" s="9" t="s">
        <v>452</v>
      </c>
      <c r="F175" s="18" t="s">
        <v>39</v>
      </c>
      <c r="G175" s="19" t="n">
        <v>3</v>
      </c>
      <c r="H175" s="18" t="s">
        <v>67</v>
      </c>
      <c r="I175" s="19" t="n">
        <v>1125</v>
      </c>
      <c r="J175" s="19" t="n">
        <v>0</v>
      </c>
      <c r="K175" s="19" t="n">
        <v>0</v>
      </c>
      <c r="L175" s="19" t="n">
        <f aca="false">G175*I175-J175+K175</f>
        <v>3375</v>
      </c>
    </row>
    <row r="176" customFormat="false" ht="18.75" hidden="false" customHeight="true" outlineLevel="0" collapsed="false">
      <c r="A176" s="20" t="n">
        <v>172</v>
      </c>
      <c r="B176" s="21" t="s">
        <v>220</v>
      </c>
      <c r="C176" s="24" t="s">
        <v>221</v>
      </c>
      <c r="D176" s="13" t="s">
        <v>38</v>
      </c>
      <c r="E176" s="13" t="s">
        <v>460</v>
      </c>
      <c r="F176" s="21" t="s">
        <v>39</v>
      </c>
      <c r="G176" s="22" t="n">
        <v>10</v>
      </c>
      <c r="H176" s="21" t="s">
        <v>67</v>
      </c>
      <c r="I176" s="22" t="n">
        <v>3000</v>
      </c>
      <c r="J176" s="22" t="n">
        <v>0</v>
      </c>
      <c r="K176" s="22" t="n">
        <v>0</v>
      </c>
      <c r="L176" s="22" t="n">
        <f aca="false">G176*I176-J176+K176</f>
        <v>30000</v>
      </c>
    </row>
    <row r="177" customFormat="false" ht="18.75" hidden="false" customHeight="true" outlineLevel="0" collapsed="false">
      <c r="A177" s="17" t="n">
        <v>173</v>
      </c>
      <c r="B177" s="18" t="s">
        <v>220</v>
      </c>
      <c r="C177" s="23" t="s">
        <v>221</v>
      </c>
      <c r="D177" s="9" t="s">
        <v>38</v>
      </c>
      <c r="E177" s="9" t="s">
        <v>463</v>
      </c>
      <c r="F177" s="18" t="s">
        <v>39</v>
      </c>
      <c r="G177" s="19" t="n">
        <v>30</v>
      </c>
      <c r="H177" s="18" t="s">
        <v>67</v>
      </c>
      <c r="I177" s="19" t="n">
        <v>210</v>
      </c>
      <c r="J177" s="19" t="n">
        <v>0</v>
      </c>
      <c r="K177" s="19" t="n">
        <v>0</v>
      </c>
      <c r="L177" s="19" t="n">
        <f aca="false">G177*I177-J177+K177</f>
        <v>6300</v>
      </c>
    </row>
    <row r="178" customFormat="false" ht="18.75" hidden="false" customHeight="true" outlineLevel="0" collapsed="false">
      <c r="A178" s="20" t="n">
        <v>174</v>
      </c>
      <c r="B178" s="21" t="s">
        <v>220</v>
      </c>
      <c r="C178" s="24" t="s">
        <v>221</v>
      </c>
      <c r="D178" s="13" t="s">
        <v>38</v>
      </c>
      <c r="E178" s="13" t="s">
        <v>465</v>
      </c>
      <c r="F178" s="21" t="s">
        <v>39</v>
      </c>
      <c r="G178" s="22" t="n">
        <v>1</v>
      </c>
      <c r="H178" s="21"/>
      <c r="I178" s="22" t="n">
        <v>5700</v>
      </c>
      <c r="J178" s="22" t="n">
        <v>0</v>
      </c>
      <c r="K178" s="22" t="n">
        <v>0</v>
      </c>
      <c r="L178" s="22" t="n">
        <f aca="false">G178*I178-J178+K178</f>
        <v>5700</v>
      </c>
    </row>
    <row r="179" customFormat="false" ht="18.75" hidden="false" customHeight="true" outlineLevel="0" collapsed="false">
      <c r="A179" s="17" t="n">
        <v>175</v>
      </c>
      <c r="B179" s="18" t="s">
        <v>220</v>
      </c>
      <c r="C179" s="23" t="s">
        <v>221</v>
      </c>
      <c r="D179" s="9" t="s">
        <v>38</v>
      </c>
      <c r="E179" s="9" t="s">
        <v>485</v>
      </c>
      <c r="F179" s="18" t="s">
        <v>39</v>
      </c>
      <c r="G179" s="19" t="n">
        <v>6</v>
      </c>
      <c r="H179" s="18" t="s">
        <v>67</v>
      </c>
      <c r="I179" s="19" t="n">
        <v>210</v>
      </c>
      <c r="J179" s="19" t="n">
        <v>0</v>
      </c>
      <c r="K179" s="19" t="n">
        <v>0</v>
      </c>
      <c r="L179" s="19" t="n">
        <f aca="false">G179*I179-J179+K179</f>
        <v>1260</v>
      </c>
    </row>
    <row r="180" customFormat="false" ht="18.75" hidden="false" customHeight="true" outlineLevel="0" collapsed="false">
      <c r="A180" s="20" t="n">
        <v>176</v>
      </c>
      <c r="B180" s="21" t="s">
        <v>220</v>
      </c>
      <c r="C180" s="24" t="s">
        <v>221</v>
      </c>
      <c r="D180" s="13" t="s">
        <v>38</v>
      </c>
      <c r="E180" s="13" t="s">
        <v>64</v>
      </c>
      <c r="F180" s="21" t="s">
        <v>39</v>
      </c>
      <c r="G180" s="22" t="n">
        <v>5061.25</v>
      </c>
      <c r="H180" s="21" t="s">
        <v>65</v>
      </c>
      <c r="I180" s="22" t="n">
        <v>16.5</v>
      </c>
      <c r="J180" s="22" t="n">
        <v>0</v>
      </c>
      <c r="K180" s="22" t="n">
        <v>0</v>
      </c>
      <c r="L180" s="22" t="n">
        <f aca="false">G180*I180-J180+K180</f>
        <v>83510.625</v>
      </c>
    </row>
    <row r="181" customFormat="false" ht="18.75" hidden="false" customHeight="true" outlineLevel="0" collapsed="false">
      <c r="A181" s="17" t="n">
        <v>177</v>
      </c>
      <c r="B181" s="18" t="s">
        <v>222</v>
      </c>
      <c r="C181" s="23" t="s">
        <v>221</v>
      </c>
      <c r="D181" s="9" t="s">
        <v>40</v>
      </c>
      <c r="E181" s="9" t="s">
        <v>68</v>
      </c>
      <c r="F181" s="18" t="s">
        <v>39</v>
      </c>
      <c r="G181" s="19" t="n">
        <v>907.25</v>
      </c>
      <c r="H181" s="18" t="s">
        <v>65</v>
      </c>
      <c r="I181" s="19" t="n">
        <v>16.25</v>
      </c>
      <c r="J181" s="19" t="n">
        <v>0</v>
      </c>
      <c r="K181" s="19" t="n">
        <v>0</v>
      </c>
      <c r="L181" s="19" t="n">
        <f aca="false">G181*I181-J181+K181</f>
        <v>14742.8125</v>
      </c>
    </row>
    <row r="182" customFormat="false" ht="18.75" hidden="false" customHeight="true" outlineLevel="0" collapsed="false">
      <c r="A182" s="20" t="n">
        <v>178</v>
      </c>
      <c r="B182" s="21" t="s">
        <v>222</v>
      </c>
      <c r="C182" s="24" t="s">
        <v>221</v>
      </c>
      <c r="D182" s="13" t="s">
        <v>40</v>
      </c>
      <c r="E182" s="13" t="s">
        <v>64</v>
      </c>
      <c r="F182" s="21" t="s">
        <v>39</v>
      </c>
      <c r="G182" s="22" t="n">
        <v>5133.5</v>
      </c>
      <c r="H182" s="21" t="s">
        <v>65</v>
      </c>
      <c r="I182" s="22" t="n">
        <v>15.25</v>
      </c>
      <c r="J182" s="22" t="n">
        <v>0</v>
      </c>
      <c r="K182" s="22" t="n">
        <v>0</v>
      </c>
      <c r="L182" s="22" t="n">
        <f aca="false">G182*I182-J182+K182</f>
        <v>78285.875</v>
      </c>
    </row>
    <row r="183" customFormat="false" ht="18.75" hidden="false" customHeight="true" outlineLevel="0" collapsed="false">
      <c r="A183" s="17" t="n">
        <v>179</v>
      </c>
      <c r="B183" s="18" t="s">
        <v>222</v>
      </c>
      <c r="C183" s="23" t="s">
        <v>221</v>
      </c>
      <c r="D183" s="9" t="s">
        <v>40</v>
      </c>
      <c r="E183" s="9" t="s">
        <v>66</v>
      </c>
      <c r="F183" s="18" t="s">
        <v>39</v>
      </c>
      <c r="G183" s="19" t="n">
        <v>200</v>
      </c>
      <c r="H183" s="18" t="s">
        <v>67</v>
      </c>
      <c r="I183" s="19" t="n">
        <v>260</v>
      </c>
      <c r="J183" s="19" t="n">
        <v>0</v>
      </c>
      <c r="K183" s="19" t="n">
        <v>0</v>
      </c>
      <c r="L183" s="19" t="n">
        <f aca="false">G183*I183-J183+K183</f>
        <v>52000</v>
      </c>
    </row>
    <row r="184" customFormat="false" ht="18.75" hidden="false" customHeight="true" outlineLevel="0" collapsed="false">
      <c r="A184" s="20" t="n">
        <v>180</v>
      </c>
      <c r="B184" s="21" t="s">
        <v>223</v>
      </c>
      <c r="C184" s="24" t="s">
        <v>224</v>
      </c>
      <c r="D184" s="13" t="s">
        <v>46</v>
      </c>
      <c r="E184" s="13" t="s">
        <v>64</v>
      </c>
      <c r="F184" s="21" t="s">
        <v>39</v>
      </c>
      <c r="G184" s="22" t="n">
        <v>2846</v>
      </c>
      <c r="H184" s="21" t="s">
        <v>65</v>
      </c>
      <c r="I184" s="22" t="n">
        <v>16.5</v>
      </c>
      <c r="J184" s="22" t="n">
        <v>0</v>
      </c>
      <c r="K184" s="22" t="n">
        <v>0</v>
      </c>
      <c r="L184" s="22" t="n">
        <f aca="false">G184*I184-J184+K184</f>
        <v>46959</v>
      </c>
    </row>
    <row r="185" customFormat="false" ht="18.75" hidden="false" customHeight="true" outlineLevel="0" collapsed="false">
      <c r="A185" s="17" t="n">
        <v>181</v>
      </c>
      <c r="B185" s="18" t="s">
        <v>223</v>
      </c>
      <c r="C185" s="23" t="s">
        <v>224</v>
      </c>
      <c r="D185" s="9" t="s">
        <v>46</v>
      </c>
      <c r="E185" s="9" t="s">
        <v>459</v>
      </c>
      <c r="F185" s="18" t="s">
        <v>39</v>
      </c>
      <c r="G185" s="19" t="n">
        <v>277</v>
      </c>
      <c r="H185" s="18" t="s">
        <v>65</v>
      </c>
      <c r="I185" s="19" t="n">
        <v>16</v>
      </c>
      <c r="J185" s="19" t="n">
        <v>0</v>
      </c>
      <c r="K185" s="19" t="n">
        <v>0</v>
      </c>
      <c r="L185" s="19" t="n">
        <f aca="false">G185*I185-J185+K185</f>
        <v>4432</v>
      </c>
    </row>
    <row r="186" customFormat="false" ht="18.75" hidden="false" customHeight="true" outlineLevel="0" collapsed="false">
      <c r="A186" s="20" t="n">
        <v>182</v>
      </c>
      <c r="B186" s="21" t="s">
        <v>223</v>
      </c>
      <c r="C186" s="24" t="s">
        <v>224</v>
      </c>
      <c r="D186" s="13" t="s">
        <v>46</v>
      </c>
      <c r="E186" s="13" t="s">
        <v>76</v>
      </c>
      <c r="F186" s="21" t="s">
        <v>39</v>
      </c>
      <c r="G186" s="22" t="n">
        <v>60</v>
      </c>
      <c r="H186" s="21" t="s">
        <v>67</v>
      </c>
      <c r="I186" s="22" t="n">
        <v>185</v>
      </c>
      <c r="J186" s="22" t="n">
        <v>0</v>
      </c>
      <c r="K186" s="22" t="n">
        <v>0</v>
      </c>
      <c r="L186" s="22" t="n">
        <f aca="false">G186*I186-J186+K186</f>
        <v>11100</v>
      </c>
    </row>
    <row r="187" customFormat="false" ht="18.75" hidden="false" customHeight="true" outlineLevel="0" collapsed="false">
      <c r="A187" s="17" t="n">
        <v>183</v>
      </c>
      <c r="B187" s="18" t="s">
        <v>223</v>
      </c>
      <c r="C187" s="23" t="s">
        <v>224</v>
      </c>
      <c r="D187" s="9" t="s">
        <v>46</v>
      </c>
      <c r="E187" s="9" t="s">
        <v>468</v>
      </c>
      <c r="F187" s="18" t="s">
        <v>39</v>
      </c>
      <c r="G187" s="19" t="n">
        <v>6</v>
      </c>
      <c r="H187" s="18" t="s">
        <v>67</v>
      </c>
      <c r="I187" s="19" t="n">
        <v>1450</v>
      </c>
      <c r="J187" s="19" t="n">
        <v>0</v>
      </c>
      <c r="K187" s="19" t="n">
        <v>0</v>
      </c>
      <c r="L187" s="19" t="n">
        <f aca="false">G187*I187-J187+K187</f>
        <v>8700</v>
      </c>
    </row>
    <row r="188" customFormat="false" ht="18.75" hidden="false" customHeight="true" outlineLevel="0" collapsed="false">
      <c r="A188" s="20" t="n">
        <v>184</v>
      </c>
      <c r="B188" s="21" t="s">
        <v>225</v>
      </c>
      <c r="C188" s="24" t="s">
        <v>224</v>
      </c>
      <c r="D188" s="13" t="s">
        <v>38</v>
      </c>
      <c r="E188" s="13" t="s">
        <v>68</v>
      </c>
      <c r="F188" s="21" t="s">
        <v>39</v>
      </c>
      <c r="G188" s="22" t="n">
        <v>4695.5</v>
      </c>
      <c r="H188" s="21" t="s">
        <v>65</v>
      </c>
      <c r="I188" s="22" t="n">
        <v>16.5</v>
      </c>
      <c r="J188" s="22" t="n">
        <v>0</v>
      </c>
      <c r="K188" s="22" t="n">
        <v>0</v>
      </c>
      <c r="L188" s="22" t="n">
        <f aca="false">G188*I188-J188+K188</f>
        <v>77475.75</v>
      </c>
    </row>
    <row r="189" customFormat="false" ht="18.75" hidden="false" customHeight="true" outlineLevel="0" collapsed="false">
      <c r="A189" s="17" t="n">
        <v>185</v>
      </c>
      <c r="B189" s="18" t="s">
        <v>225</v>
      </c>
      <c r="C189" s="23" t="s">
        <v>224</v>
      </c>
      <c r="D189" s="9" t="s">
        <v>38</v>
      </c>
      <c r="E189" s="9" t="s">
        <v>466</v>
      </c>
      <c r="F189" s="18" t="s">
        <v>39</v>
      </c>
      <c r="G189" s="19" t="n">
        <v>1099.75</v>
      </c>
      <c r="H189" s="18" t="s">
        <v>65</v>
      </c>
      <c r="I189" s="19" t="n">
        <v>25</v>
      </c>
      <c r="J189" s="19" t="n">
        <v>0</v>
      </c>
      <c r="K189" s="19" t="n">
        <v>0</v>
      </c>
      <c r="L189" s="19" t="n">
        <f aca="false">G189*I189-J189+K189</f>
        <v>27493.75</v>
      </c>
    </row>
    <row r="190" customFormat="false" ht="18.75" hidden="false" customHeight="true" outlineLevel="0" collapsed="false">
      <c r="A190" s="20" t="n">
        <v>186</v>
      </c>
      <c r="B190" s="21" t="s">
        <v>225</v>
      </c>
      <c r="C190" s="24" t="s">
        <v>224</v>
      </c>
      <c r="D190" s="13" t="s">
        <v>38</v>
      </c>
      <c r="E190" s="13" t="s">
        <v>463</v>
      </c>
      <c r="F190" s="21" t="s">
        <v>39</v>
      </c>
      <c r="G190" s="22" t="n">
        <v>1</v>
      </c>
      <c r="H190" s="21" t="s">
        <v>67</v>
      </c>
      <c r="I190" s="22" t="n">
        <v>400</v>
      </c>
      <c r="J190" s="22" t="n">
        <v>0</v>
      </c>
      <c r="K190" s="22" t="n">
        <v>0</v>
      </c>
      <c r="L190" s="22" t="n">
        <f aca="false">G190*I190-J190+K190</f>
        <v>400</v>
      </c>
    </row>
    <row r="191" customFormat="false" ht="18.75" hidden="false" customHeight="true" outlineLevel="0" collapsed="false">
      <c r="A191" s="17" t="n">
        <v>187</v>
      </c>
      <c r="B191" s="18" t="s">
        <v>225</v>
      </c>
      <c r="C191" s="23" t="s">
        <v>224</v>
      </c>
      <c r="D191" s="9" t="s">
        <v>38</v>
      </c>
      <c r="E191" s="9" t="s">
        <v>457</v>
      </c>
      <c r="F191" s="18" t="s">
        <v>39</v>
      </c>
      <c r="G191" s="19" t="n">
        <v>1</v>
      </c>
      <c r="H191" s="18" t="s">
        <v>67</v>
      </c>
      <c r="I191" s="19" t="n">
        <v>6200</v>
      </c>
      <c r="J191" s="19" t="n">
        <v>0</v>
      </c>
      <c r="K191" s="19" t="n">
        <v>0</v>
      </c>
      <c r="L191" s="19" t="n">
        <f aca="false">G191*I191-J191+K191</f>
        <v>6200</v>
      </c>
    </row>
    <row r="192" customFormat="false" ht="18.75" hidden="false" customHeight="true" outlineLevel="0" collapsed="false">
      <c r="A192" s="20" t="n">
        <v>188</v>
      </c>
      <c r="B192" s="21" t="s">
        <v>225</v>
      </c>
      <c r="C192" s="24" t="s">
        <v>224</v>
      </c>
      <c r="D192" s="13" t="s">
        <v>38</v>
      </c>
      <c r="E192" s="13" t="s">
        <v>468</v>
      </c>
      <c r="F192" s="21" t="s">
        <v>39</v>
      </c>
      <c r="G192" s="22" t="n">
        <v>9</v>
      </c>
      <c r="H192" s="21" t="s">
        <v>67</v>
      </c>
      <c r="I192" s="22" t="n">
        <v>1400</v>
      </c>
      <c r="J192" s="22" t="n">
        <v>0</v>
      </c>
      <c r="K192" s="22" t="n">
        <v>0</v>
      </c>
      <c r="L192" s="22" t="n">
        <f aca="false">G192*I192-J192+K192</f>
        <v>12600</v>
      </c>
    </row>
    <row r="193" customFormat="false" ht="18.75" hidden="false" customHeight="true" outlineLevel="0" collapsed="false">
      <c r="A193" s="17" t="n">
        <v>189</v>
      </c>
      <c r="B193" s="18" t="s">
        <v>225</v>
      </c>
      <c r="C193" s="23" t="s">
        <v>224</v>
      </c>
      <c r="D193" s="9" t="s">
        <v>38</v>
      </c>
      <c r="E193" s="9" t="s">
        <v>471</v>
      </c>
      <c r="F193" s="18" t="s">
        <v>39</v>
      </c>
      <c r="G193" s="19" t="n">
        <v>1</v>
      </c>
      <c r="H193" s="18" t="s">
        <v>67</v>
      </c>
      <c r="I193" s="19" t="n">
        <v>8500</v>
      </c>
      <c r="J193" s="19" t="n">
        <v>0</v>
      </c>
      <c r="K193" s="19" t="n">
        <v>0</v>
      </c>
      <c r="L193" s="19" t="n">
        <f aca="false">G193*I193-J193+K193</f>
        <v>8500</v>
      </c>
    </row>
    <row r="194" customFormat="false" ht="18.75" hidden="false" customHeight="true" outlineLevel="0" collapsed="false">
      <c r="A194" s="20" t="n">
        <v>190</v>
      </c>
      <c r="B194" s="21" t="s">
        <v>226</v>
      </c>
      <c r="C194" s="24" t="s">
        <v>224</v>
      </c>
      <c r="D194" s="13" t="s">
        <v>38</v>
      </c>
      <c r="E194" s="13" t="s">
        <v>471</v>
      </c>
      <c r="F194" s="21" t="s">
        <v>39</v>
      </c>
      <c r="G194" s="22" t="n">
        <v>2</v>
      </c>
      <c r="H194" s="21" t="s">
        <v>67</v>
      </c>
      <c r="I194" s="22" t="n">
        <v>8500</v>
      </c>
      <c r="J194" s="22" t="n">
        <v>0</v>
      </c>
      <c r="K194" s="22" t="n">
        <v>0</v>
      </c>
      <c r="L194" s="22" t="n">
        <f aca="false">G194*I194-J194+K194</f>
        <v>17000</v>
      </c>
    </row>
    <row r="195" customFormat="false" ht="18.75" hidden="false" customHeight="true" outlineLevel="0" collapsed="false">
      <c r="A195" s="17" t="n">
        <v>191</v>
      </c>
      <c r="B195" s="18" t="s">
        <v>226</v>
      </c>
      <c r="C195" s="23" t="s">
        <v>224</v>
      </c>
      <c r="D195" s="9" t="s">
        <v>38</v>
      </c>
      <c r="E195" s="9" t="s">
        <v>458</v>
      </c>
      <c r="F195" s="18" t="s">
        <v>39</v>
      </c>
      <c r="G195" s="19" t="n">
        <v>10</v>
      </c>
      <c r="H195" s="18" t="s">
        <v>67</v>
      </c>
      <c r="I195" s="19" t="n">
        <v>1700</v>
      </c>
      <c r="J195" s="19" t="n">
        <v>0</v>
      </c>
      <c r="K195" s="19" t="n">
        <v>0</v>
      </c>
      <c r="L195" s="19" t="n">
        <f aca="false">G195*I195-J195+K195</f>
        <v>17000</v>
      </c>
    </row>
    <row r="196" customFormat="false" ht="18.75" hidden="false" customHeight="true" outlineLevel="0" collapsed="false">
      <c r="A196" s="20" t="n">
        <v>192</v>
      </c>
      <c r="B196" s="21" t="s">
        <v>226</v>
      </c>
      <c r="C196" s="24" t="s">
        <v>224</v>
      </c>
      <c r="D196" s="13" t="s">
        <v>38</v>
      </c>
      <c r="E196" s="13" t="s">
        <v>452</v>
      </c>
      <c r="F196" s="21" t="s">
        <v>39</v>
      </c>
      <c r="G196" s="22" t="n">
        <v>5</v>
      </c>
      <c r="H196" s="21" t="s">
        <v>67</v>
      </c>
      <c r="I196" s="22" t="n">
        <v>1125</v>
      </c>
      <c r="J196" s="22" t="n">
        <v>0</v>
      </c>
      <c r="K196" s="22" t="n">
        <v>0</v>
      </c>
      <c r="L196" s="22" t="n">
        <f aca="false">G196*I196-J196+K196</f>
        <v>5625</v>
      </c>
    </row>
    <row r="197" customFormat="false" ht="18.75" hidden="false" customHeight="true" outlineLevel="0" collapsed="false">
      <c r="A197" s="17" t="n">
        <v>193</v>
      </c>
      <c r="B197" s="18" t="s">
        <v>226</v>
      </c>
      <c r="C197" s="23" t="s">
        <v>224</v>
      </c>
      <c r="D197" s="9" t="s">
        <v>38</v>
      </c>
      <c r="E197" s="9" t="s">
        <v>72</v>
      </c>
      <c r="F197" s="18" t="s">
        <v>39</v>
      </c>
      <c r="G197" s="19" t="n">
        <v>156</v>
      </c>
      <c r="H197" s="18" t="s">
        <v>73</v>
      </c>
      <c r="I197" s="19" t="n">
        <v>22</v>
      </c>
      <c r="J197" s="19" t="n">
        <v>0</v>
      </c>
      <c r="K197" s="19" t="n">
        <v>0</v>
      </c>
      <c r="L197" s="19" t="n">
        <f aca="false">G197*I197-J197+K197</f>
        <v>3432</v>
      </c>
    </row>
    <row r="198" customFormat="false" ht="18.75" hidden="false" customHeight="true" outlineLevel="0" collapsed="false">
      <c r="A198" s="20" t="n">
        <v>194</v>
      </c>
      <c r="B198" s="21" t="s">
        <v>227</v>
      </c>
      <c r="C198" s="24" t="s">
        <v>228</v>
      </c>
      <c r="D198" s="13" t="s">
        <v>46</v>
      </c>
      <c r="E198" s="13" t="s">
        <v>68</v>
      </c>
      <c r="F198" s="21" t="s">
        <v>39</v>
      </c>
      <c r="G198" s="22" t="n">
        <v>512.5</v>
      </c>
      <c r="H198" s="21" t="s">
        <v>65</v>
      </c>
      <c r="I198" s="22" t="n">
        <v>16.5</v>
      </c>
      <c r="J198" s="22" t="n">
        <v>0</v>
      </c>
      <c r="K198" s="22" t="n">
        <v>0</v>
      </c>
      <c r="L198" s="22" t="n">
        <f aca="false">G198*I198-J198+K198</f>
        <v>8456.25</v>
      </c>
    </row>
    <row r="199" customFormat="false" ht="18.75" hidden="false" customHeight="true" outlineLevel="0" collapsed="false">
      <c r="A199" s="17" t="n">
        <v>195</v>
      </c>
      <c r="B199" s="18" t="s">
        <v>227</v>
      </c>
      <c r="C199" s="23" t="s">
        <v>228</v>
      </c>
      <c r="D199" s="9" t="s">
        <v>46</v>
      </c>
      <c r="E199" s="9" t="s">
        <v>72</v>
      </c>
      <c r="F199" s="18" t="s">
        <v>39</v>
      </c>
      <c r="G199" s="19" t="n">
        <v>160</v>
      </c>
      <c r="H199" s="18" t="s">
        <v>73</v>
      </c>
      <c r="I199" s="19" t="n">
        <v>22</v>
      </c>
      <c r="J199" s="19" t="n">
        <v>0</v>
      </c>
      <c r="K199" s="19" t="n">
        <v>0</v>
      </c>
      <c r="L199" s="19" t="n">
        <f aca="false">G199*I199-J199+K199</f>
        <v>3520</v>
      </c>
    </row>
    <row r="200" customFormat="false" ht="18.75" hidden="false" customHeight="true" outlineLevel="0" collapsed="false">
      <c r="A200" s="20" t="n">
        <v>196</v>
      </c>
      <c r="B200" s="21" t="s">
        <v>229</v>
      </c>
      <c r="C200" s="24" t="s">
        <v>230</v>
      </c>
      <c r="D200" s="13" t="s">
        <v>96</v>
      </c>
      <c r="E200" s="13" t="s">
        <v>474</v>
      </c>
      <c r="F200" s="21" t="s">
        <v>39</v>
      </c>
      <c r="G200" s="22" t="n">
        <v>1</v>
      </c>
      <c r="H200" s="21" t="s">
        <v>67</v>
      </c>
      <c r="I200" s="22" t="n">
        <v>26000</v>
      </c>
      <c r="J200" s="22" t="n">
        <v>3500</v>
      </c>
      <c r="K200" s="22" t="n">
        <v>0</v>
      </c>
      <c r="L200" s="22" t="n">
        <f aca="false">G200*I200-J200+K200</f>
        <v>22500</v>
      </c>
    </row>
    <row r="201" customFormat="false" ht="18.75" hidden="false" customHeight="true" outlineLevel="0" collapsed="false">
      <c r="A201" s="17" t="n">
        <v>197</v>
      </c>
      <c r="B201" s="18" t="s">
        <v>229</v>
      </c>
      <c r="C201" s="23" t="s">
        <v>230</v>
      </c>
      <c r="D201" s="9" t="s">
        <v>96</v>
      </c>
      <c r="E201" s="9" t="s">
        <v>75</v>
      </c>
      <c r="F201" s="18" t="s">
        <v>39</v>
      </c>
      <c r="G201" s="19" t="n">
        <v>17</v>
      </c>
      <c r="H201" s="18" t="s">
        <v>65</v>
      </c>
      <c r="I201" s="19" t="n">
        <v>236</v>
      </c>
      <c r="J201" s="19" t="n">
        <v>0</v>
      </c>
      <c r="K201" s="19" t="n">
        <v>0</v>
      </c>
      <c r="L201" s="19" t="n">
        <f aca="false">G201*I201-J201+K201</f>
        <v>4012</v>
      </c>
    </row>
    <row r="202" customFormat="false" ht="18.75" hidden="false" customHeight="true" outlineLevel="0" collapsed="false">
      <c r="A202" s="20" t="n">
        <v>198</v>
      </c>
      <c r="B202" s="21" t="s">
        <v>231</v>
      </c>
      <c r="C202" s="24" t="s">
        <v>232</v>
      </c>
      <c r="D202" s="13" t="s">
        <v>233</v>
      </c>
      <c r="E202" s="13" t="s">
        <v>459</v>
      </c>
      <c r="F202" s="21" t="s">
        <v>39</v>
      </c>
      <c r="G202" s="22" t="n">
        <v>135</v>
      </c>
      <c r="H202" s="21" t="s">
        <v>65</v>
      </c>
      <c r="I202" s="22" t="n">
        <v>16</v>
      </c>
      <c r="J202" s="22" t="n">
        <v>0</v>
      </c>
      <c r="K202" s="22" t="n">
        <v>0</v>
      </c>
      <c r="L202" s="22" t="n">
        <f aca="false">G202*I202-J202+K202</f>
        <v>2160</v>
      </c>
    </row>
    <row r="203" customFormat="false" ht="18.75" hidden="false" customHeight="true" outlineLevel="0" collapsed="false">
      <c r="A203" s="17" t="n">
        <v>199</v>
      </c>
      <c r="B203" s="18" t="s">
        <v>231</v>
      </c>
      <c r="C203" s="23" t="s">
        <v>232</v>
      </c>
      <c r="D203" s="9" t="s">
        <v>233</v>
      </c>
      <c r="E203" s="9" t="s">
        <v>463</v>
      </c>
      <c r="F203" s="18" t="s">
        <v>39</v>
      </c>
      <c r="G203" s="19" t="n">
        <v>26</v>
      </c>
      <c r="H203" s="18" t="s">
        <v>67</v>
      </c>
      <c r="I203" s="19" t="n">
        <v>225</v>
      </c>
      <c r="J203" s="19" t="n">
        <v>0</v>
      </c>
      <c r="K203" s="19" t="n">
        <v>0</v>
      </c>
      <c r="L203" s="19" t="n">
        <f aca="false">G203*I203-J203+K203</f>
        <v>5850</v>
      </c>
    </row>
    <row r="204" customFormat="false" ht="18.75" hidden="false" customHeight="true" outlineLevel="0" collapsed="false">
      <c r="A204" s="20" t="n">
        <v>200</v>
      </c>
      <c r="B204" s="21" t="s">
        <v>234</v>
      </c>
      <c r="C204" s="24" t="s">
        <v>232</v>
      </c>
      <c r="D204" s="13" t="s">
        <v>38</v>
      </c>
      <c r="E204" s="13" t="s">
        <v>64</v>
      </c>
      <c r="F204" s="21" t="s">
        <v>39</v>
      </c>
      <c r="G204" s="22" t="n">
        <v>3004.25</v>
      </c>
      <c r="H204" s="21" t="s">
        <v>65</v>
      </c>
      <c r="I204" s="22" t="n">
        <v>16.5</v>
      </c>
      <c r="J204" s="22" t="n">
        <v>0</v>
      </c>
      <c r="K204" s="22" t="n">
        <v>0</v>
      </c>
      <c r="L204" s="22" t="n">
        <f aca="false">G204*I204-J204+K204</f>
        <v>49570.125</v>
      </c>
    </row>
    <row r="205" customFormat="false" ht="18.75" hidden="false" customHeight="true" outlineLevel="0" collapsed="false">
      <c r="A205" s="17" t="n">
        <v>201</v>
      </c>
      <c r="B205" s="18" t="s">
        <v>234</v>
      </c>
      <c r="C205" s="23" t="s">
        <v>232</v>
      </c>
      <c r="D205" s="9" t="s">
        <v>38</v>
      </c>
      <c r="E205" s="9" t="s">
        <v>498</v>
      </c>
      <c r="F205" s="18" t="s">
        <v>39</v>
      </c>
      <c r="G205" s="19" t="n">
        <v>11</v>
      </c>
      <c r="H205" s="18" t="s">
        <v>67</v>
      </c>
      <c r="I205" s="19" t="n">
        <v>140</v>
      </c>
      <c r="J205" s="19" t="n">
        <v>0</v>
      </c>
      <c r="K205" s="19" t="n">
        <v>0</v>
      </c>
      <c r="L205" s="19" t="n">
        <f aca="false">G205*I205-J205+K205</f>
        <v>1540</v>
      </c>
    </row>
    <row r="206" customFormat="false" ht="18.75" hidden="false" customHeight="true" outlineLevel="0" collapsed="false">
      <c r="A206" s="20" t="n">
        <v>202</v>
      </c>
      <c r="B206" s="21" t="s">
        <v>234</v>
      </c>
      <c r="C206" s="24" t="s">
        <v>232</v>
      </c>
      <c r="D206" s="13" t="s">
        <v>38</v>
      </c>
      <c r="E206" s="13" t="s">
        <v>460</v>
      </c>
      <c r="F206" s="21" t="s">
        <v>39</v>
      </c>
      <c r="G206" s="22" t="n">
        <v>10</v>
      </c>
      <c r="H206" s="21" t="s">
        <v>67</v>
      </c>
      <c r="I206" s="22" t="n">
        <v>2800</v>
      </c>
      <c r="J206" s="22" t="n">
        <v>0</v>
      </c>
      <c r="K206" s="22" t="n">
        <v>0</v>
      </c>
      <c r="L206" s="22" t="n">
        <f aca="false">G206*I206-J206+K206</f>
        <v>28000</v>
      </c>
    </row>
    <row r="207" customFormat="false" ht="18.75" hidden="false" customHeight="true" outlineLevel="0" collapsed="false">
      <c r="A207" s="17" t="n">
        <v>203</v>
      </c>
      <c r="B207" s="18" t="s">
        <v>234</v>
      </c>
      <c r="C207" s="23" t="s">
        <v>232</v>
      </c>
      <c r="D207" s="9" t="s">
        <v>38</v>
      </c>
      <c r="E207" s="9" t="s">
        <v>72</v>
      </c>
      <c r="F207" s="18" t="s">
        <v>39</v>
      </c>
      <c r="G207" s="19" t="n">
        <v>432.5</v>
      </c>
      <c r="H207" s="18" t="s">
        <v>73</v>
      </c>
      <c r="I207" s="19" t="n">
        <v>22</v>
      </c>
      <c r="J207" s="19" t="n">
        <v>0</v>
      </c>
      <c r="K207" s="19" t="n">
        <v>0</v>
      </c>
      <c r="L207" s="19" t="n">
        <f aca="false">G207*I207-J207+K207</f>
        <v>9515</v>
      </c>
    </row>
    <row r="208" customFormat="false" ht="18.75" hidden="false" customHeight="true" outlineLevel="0" collapsed="false">
      <c r="A208" s="20" t="n">
        <v>204</v>
      </c>
      <c r="B208" s="21" t="s">
        <v>235</v>
      </c>
      <c r="C208" s="24" t="s">
        <v>236</v>
      </c>
      <c r="D208" s="13" t="s">
        <v>40</v>
      </c>
      <c r="E208" s="13" t="s">
        <v>64</v>
      </c>
      <c r="F208" s="21" t="s">
        <v>39</v>
      </c>
      <c r="G208" s="22" t="n">
        <v>1615</v>
      </c>
      <c r="H208" s="21" t="s">
        <v>65</v>
      </c>
      <c r="I208" s="22" t="n">
        <v>15.25</v>
      </c>
      <c r="J208" s="22" t="n">
        <v>0</v>
      </c>
      <c r="K208" s="22" t="n">
        <v>0</v>
      </c>
      <c r="L208" s="22" t="n">
        <f aca="false">G208*I208-J208+K208</f>
        <v>24628.75</v>
      </c>
    </row>
    <row r="209" customFormat="false" ht="18.75" hidden="false" customHeight="true" outlineLevel="0" collapsed="false">
      <c r="A209" s="17" t="n">
        <v>205</v>
      </c>
      <c r="B209" s="18" t="s">
        <v>235</v>
      </c>
      <c r="C209" s="23" t="s">
        <v>236</v>
      </c>
      <c r="D209" s="9" t="s">
        <v>40</v>
      </c>
      <c r="E209" s="9" t="s">
        <v>72</v>
      </c>
      <c r="F209" s="18" t="s">
        <v>39</v>
      </c>
      <c r="G209" s="19" t="n">
        <v>1570.5</v>
      </c>
      <c r="H209" s="18" t="s">
        <v>73</v>
      </c>
      <c r="I209" s="19" t="n">
        <v>22</v>
      </c>
      <c r="J209" s="19" t="n">
        <v>0</v>
      </c>
      <c r="K209" s="19" t="n">
        <v>0</v>
      </c>
      <c r="L209" s="19" t="n">
        <f aca="false">G209*I209-J209+K209</f>
        <v>34551</v>
      </c>
    </row>
    <row r="210" customFormat="false" ht="18.75" hidden="false" customHeight="true" outlineLevel="0" collapsed="false">
      <c r="A210" s="20" t="n">
        <v>206</v>
      </c>
      <c r="B210" s="21" t="s">
        <v>235</v>
      </c>
      <c r="C210" s="24" t="s">
        <v>236</v>
      </c>
      <c r="D210" s="13" t="s">
        <v>40</v>
      </c>
      <c r="E210" s="13" t="s">
        <v>68</v>
      </c>
      <c r="F210" s="21" t="s">
        <v>39</v>
      </c>
      <c r="G210" s="22" t="n">
        <v>7641.75</v>
      </c>
      <c r="H210" s="21" t="s">
        <v>65</v>
      </c>
      <c r="I210" s="22" t="n">
        <v>16.25</v>
      </c>
      <c r="J210" s="22" t="n">
        <v>0</v>
      </c>
      <c r="K210" s="22" t="n">
        <v>0</v>
      </c>
      <c r="L210" s="22" t="n">
        <f aca="false">G210*I210-J210+K210</f>
        <v>124178.4375</v>
      </c>
    </row>
    <row r="211" customFormat="false" ht="18.75" hidden="false" customHeight="true" outlineLevel="0" collapsed="false">
      <c r="A211" s="17" t="n">
        <v>207</v>
      </c>
      <c r="B211" s="18" t="s">
        <v>237</v>
      </c>
      <c r="C211" s="23" t="s">
        <v>238</v>
      </c>
      <c r="D211" s="9" t="s">
        <v>233</v>
      </c>
      <c r="E211" s="9" t="s">
        <v>462</v>
      </c>
      <c r="F211" s="18" t="s">
        <v>39</v>
      </c>
      <c r="G211" s="19" t="n">
        <v>12</v>
      </c>
      <c r="H211" s="18" t="s">
        <v>67</v>
      </c>
      <c r="I211" s="19" t="n">
        <v>650</v>
      </c>
      <c r="J211" s="19" t="n">
        <v>0</v>
      </c>
      <c r="K211" s="19" t="n">
        <v>0</v>
      </c>
      <c r="L211" s="19" t="n">
        <f aca="false">G211*I211-J211+K211</f>
        <v>7800</v>
      </c>
    </row>
    <row r="212" customFormat="false" ht="18.75" hidden="false" customHeight="true" outlineLevel="0" collapsed="false">
      <c r="A212" s="20" t="n">
        <v>208</v>
      </c>
      <c r="B212" s="21" t="s">
        <v>239</v>
      </c>
      <c r="C212" s="24" t="s">
        <v>240</v>
      </c>
      <c r="D212" s="13" t="s">
        <v>233</v>
      </c>
      <c r="E212" s="13" t="s">
        <v>473</v>
      </c>
      <c r="F212" s="21" t="s">
        <v>39</v>
      </c>
      <c r="G212" s="22" t="n">
        <v>10</v>
      </c>
      <c r="H212" s="21" t="s">
        <v>67</v>
      </c>
      <c r="I212" s="22" t="n">
        <v>225</v>
      </c>
      <c r="J212" s="22" t="n">
        <v>0</v>
      </c>
      <c r="K212" s="22" t="n">
        <v>0</v>
      </c>
      <c r="L212" s="22" t="n">
        <f aca="false">G212*I212-J212+K212</f>
        <v>2250</v>
      </c>
    </row>
    <row r="213" customFormat="false" ht="18.75" hidden="false" customHeight="true" outlineLevel="0" collapsed="false">
      <c r="A213" s="17" t="n">
        <v>209</v>
      </c>
      <c r="B213" s="18" t="s">
        <v>241</v>
      </c>
      <c r="C213" s="23" t="s">
        <v>242</v>
      </c>
      <c r="D213" s="9" t="s">
        <v>46</v>
      </c>
      <c r="E213" s="9" t="s">
        <v>64</v>
      </c>
      <c r="F213" s="18" t="s">
        <v>39</v>
      </c>
      <c r="G213" s="19" t="n">
        <v>2687</v>
      </c>
      <c r="H213" s="18" t="s">
        <v>65</v>
      </c>
      <c r="I213" s="19" t="n">
        <v>16.5</v>
      </c>
      <c r="J213" s="19" t="n">
        <v>0</v>
      </c>
      <c r="K213" s="19" t="n">
        <v>0</v>
      </c>
      <c r="L213" s="19" t="n">
        <f aca="false">G213*I213-J213+K213</f>
        <v>44335.5</v>
      </c>
    </row>
    <row r="214" customFormat="false" ht="18.75" hidden="false" customHeight="true" outlineLevel="0" collapsed="false">
      <c r="A214" s="20" t="n">
        <v>210</v>
      </c>
      <c r="B214" s="21" t="s">
        <v>241</v>
      </c>
      <c r="C214" s="24" t="s">
        <v>242</v>
      </c>
      <c r="D214" s="13" t="s">
        <v>46</v>
      </c>
      <c r="E214" s="13" t="s">
        <v>468</v>
      </c>
      <c r="F214" s="21" t="s">
        <v>39</v>
      </c>
      <c r="G214" s="22" t="n">
        <v>6</v>
      </c>
      <c r="H214" s="21" t="s">
        <v>67</v>
      </c>
      <c r="I214" s="22" t="n">
        <v>1450</v>
      </c>
      <c r="J214" s="22" t="n">
        <v>0</v>
      </c>
      <c r="K214" s="22" t="n">
        <v>0</v>
      </c>
      <c r="L214" s="22" t="n">
        <f aca="false">G214*I214-J214+K214</f>
        <v>8700</v>
      </c>
    </row>
    <row r="215" customFormat="false" ht="18.75" hidden="false" customHeight="true" outlineLevel="0" collapsed="false">
      <c r="A215" s="17" t="n">
        <v>211</v>
      </c>
      <c r="B215" s="18" t="s">
        <v>241</v>
      </c>
      <c r="C215" s="23" t="s">
        <v>242</v>
      </c>
      <c r="D215" s="9" t="s">
        <v>46</v>
      </c>
      <c r="E215" s="9" t="s">
        <v>491</v>
      </c>
      <c r="F215" s="18" t="s">
        <v>39</v>
      </c>
      <c r="G215" s="19" t="n">
        <v>1</v>
      </c>
      <c r="H215" s="18" t="s">
        <v>67</v>
      </c>
      <c r="I215" s="19" t="n">
        <v>2300</v>
      </c>
      <c r="J215" s="19" t="n">
        <v>0</v>
      </c>
      <c r="K215" s="19" t="n">
        <v>0</v>
      </c>
      <c r="L215" s="19" t="n">
        <f aca="false">G215*I215-J215+K215</f>
        <v>2300</v>
      </c>
    </row>
    <row r="216" customFormat="false" ht="18.75" hidden="false" customHeight="true" outlineLevel="0" collapsed="false">
      <c r="A216" s="20" t="n">
        <v>212</v>
      </c>
      <c r="B216" s="21" t="s">
        <v>241</v>
      </c>
      <c r="C216" s="24" t="s">
        <v>242</v>
      </c>
      <c r="D216" s="13" t="s">
        <v>46</v>
      </c>
      <c r="E216" s="13" t="s">
        <v>499</v>
      </c>
      <c r="F216" s="21" t="s">
        <v>39</v>
      </c>
      <c r="G216" s="22" t="n">
        <v>2</v>
      </c>
      <c r="H216" s="21" t="s">
        <v>67</v>
      </c>
      <c r="I216" s="22" t="n">
        <v>2650</v>
      </c>
      <c r="J216" s="22" t="n">
        <v>0</v>
      </c>
      <c r="K216" s="22" t="n">
        <v>0</v>
      </c>
      <c r="L216" s="22" t="n">
        <f aca="false">G216*I216-J216+K216</f>
        <v>5300</v>
      </c>
    </row>
    <row r="217" customFormat="false" ht="18.75" hidden="false" customHeight="true" outlineLevel="0" collapsed="false">
      <c r="A217" s="17" t="n">
        <v>213</v>
      </c>
      <c r="B217" s="18" t="s">
        <v>241</v>
      </c>
      <c r="C217" s="23" t="s">
        <v>242</v>
      </c>
      <c r="D217" s="9" t="s">
        <v>46</v>
      </c>
      <c r="E217" s="9" t="s">
        <v>478</v>
      </c>
      <c r="F217" s="18" t="s">
        <v>39</v>
      </c>
      <c r="G217" s="19" t="n">
        <v>4</v>
      </c>
      <c r="H217" s="18" t="s">
        <v>67</v>
      </c>
      <c r="I217" s="19" t="n">
        <v>2000</v>
      </c>
      <c r="J217" s="19" t="n">
        <v>0</v>
      </c>
      <c r="K217" s="19" t="n">
        <v>0</v>
      </c>
      <c r="L217" s="19" t="n">
        <f aca="false">G217*I217-J217+K217</f>
        <v>8000</v>
      </c>
    </row>
    <row r="218" customFormat="false" ht="18.75" hidden="false" customHeight="true" outlineLevel="0" collapsed="false">
      <c r="A218" s="20" t="n">
        <v>214</v>
      </c>
      <c r="B218" s="21" t="s">
        <v>241</v>
      </c>
      <c r="C218" s="24" t="s">
        <v>242</v>
      </c>
      <c r="D218" s="13" t="s">
        <v>46</v>
      </c>
      <c r="E218" s="13" t="s">
        <v>476</v>
      </c>
      <c r="F218" s="21" t="s">
        <v>39</v>
      </c>
      <c r="G218" s="22" t="n">
        <v>4</v>
      </c>
      <c r="H218" s="21" t="s">
        <v>67</v>
      </c>
      <c r="I218" s="22" t="n">
        <v>2250</v>
      </c>
      <c r="J218" s="22" t="n">
        <v>0</v>
      </c>
      <c r="K218" s="22" t="n">
        <v>0</v>
      </c>
      <c r="L218" s="22" t="n">
        <f aca="false">G218*I218-J218+K218</f>
        <v>9000</v>
      </c>
    </row>
    <row r="219" customFormat="false" ht="18.75" hidden="false" customHeight="true" outlineLevel="0" collapsed="false">
      <c r="A219" s="17" t="n">
        <v>215</v>
      </c>
      <c r="B219" s="18" t="s">
        <v>243</v>
      </c>
      <c r="C219" s="23" t="s">
        <v>244</v>
      </c>
      <c r="D219" s="9" t="s">
        <v>38</v>
      </c>
      <c r="E219" s="9" t="s">
        <v>461</v>
      </c>
      <c r="F219" s="18" t="s">
        <v>39</v>
      </c>
      <c r="G219" s="19" t="n">
        <v>12</v>
      </c>
      <c r="H219" s="18" t="s">
        <v>67</v>
      </c>
      <c r="I219" s="19" t="n">
        <v>800</v>
      </c>
      <c r="J219" s="19" t="n">
        <v>0</v>
      </c>
      <c r="K219" s="19" t="n">
        <v>0</v>
      </c>
      <c r="L219" s="19" t="n">
        <f aca="false">G219*I219-J219+K219</f>
        <v>9600</v>
      </c>
    </row>
    <row r="220" customFormat="false" ht="18.75" hidden="false" customHeight="true" outlineLevel="0" collapsed="false">
      <c r="A220" s="20" t="n">
        <v>216</v>
      </c>
      <c r="B220" s="21" t="s">
        <v>243</v>
      </c>
      <c r="C220" s="24" t="s">
        <v>244</v>
      </c>
      <c r="D220" s="13" t="s">
        <v>38</v>
      </c>
      <c r="E220" s="13" t="s">
        <v>462</v>
      </c>
      <c r="F220" s="21" t="s">
        <v>39</v>
      </c>
      <c r="G220" s="22" t="n">
        <v>10</v>
      </c>
      <c r="H220" s="21" t="s">
        <v>67</v>
      </c>
      <c r="I220" s="22" t="n">
        <v>650</v>
      </c>
      <c r="J220" s="22" t="n">
        <v>0</v>
      </c>
      <c r="K220" s="22" t="n">
        <v>0</v>
      </c>
      <c r="L220" s="22" t="n">
        <f aca="false">G220*I220-J220+K220</f>
        <v>6500</v>
      </c>
    </row>
    <row r="221" customFormat="false" ht="18.75" hidden="false" customHeight="true" outlineLevel="0" collapsed="false">
      <c r="A221" s="17" t="n">
        <v>217</v>
      </c>
      <c r="B221" s="18" t="s">
        <v>243</v>
      </c>
      <c r="C221" s="23" t="s">
        <v>244</v>
      </c>
      <c r="D221" s="9" t="s">
        <v>38</v>
      </c>
      <c r="E221" s="9" t="s">
        <v>475</v>
      </c>
      <c r="F221" s="18" t="s">
        <v>39</v>
      </c>
      <c r="G221" s="19" t="n">
        <v>4</v>
      </c>
      <c r="H221" s="18" t="s">
        <v>67</v>
      </c>
      <c r="I221" s="19" t="n">
        <v>900</v>
      </c>
      <c r="J221" s="19" t="n">
        <v>0</v>
      </c>
      <c r="K221" s="19" t="n">
        <v>0</v>
      </c>
      <c r="L221" s="19" t="n">
        <f aca="false">G221*I221-J221+K221</f>
        <v>3600</v>
      </c>
    </row>
    <row r="222" customFormat="false" ht="18.75" hidden="false" customHeight="true" outlineLevel="0" collapsed="false">
      <c r="A222" s="20" t="n">
        <v>218</v>
      </c>
      <c r="B222" s="21" t="s">
        <v>243</v>
      </c>
      <c r="C222" s="24" t="s">
        <v>244</v>
      </c>
      <c r="D222" s="13" t="s">
        <v>38</v>
      </c>
      <c r="E222" s="13" t="s">
        <v>475</v>
      </c>
      <c r="F222" s="21" t="s">
        <v>39</v>
      </c>
      <c r="G222" s="22" t="n">
        <v>1</v>
      </c>
      <c r="H222" s="21" t="s">
        <v>67</v>
      </c>
      <c r="I222" s="22" t="n">
        <v>1500</v>
      </c>
      <c r="J222" s="22" t="n">
        <v>0</v>
      </c>
      <c r="K222" s="22" t="n">
        <v>0</v>
      </c>
      <c r="L222" s="22" t="n">
        <f aca="false">G222*I222-J222+K222</f>
        <v>1500</v>
      </c>
    </row>
    <row r="223" customFormat="false" ht="18.75" hidden="false" customHeight="true" outlineLevel="0" collapsed="false">
      <c r="A223" s="17" t="n">
        <v>219</v>
      </c>
      <c r="B223" s="18" t="s">
        <v>243</v>
      </c>
      <c r="C223" s="23" t="s">
        <v>244</v>
      </c>
      <c r="D223" s="9" t="s">
        <v>38</v>
      </c>
      <c r="E223" s="9" t="s">
        <v>468</v>
      </c>
      <c r="F223" s="18" t="s">
        <v>39</v>
      </c>
      <c r="G223" s="19" t="n">
        <v>6</v>
      </c>
      <c r="H223" s="18" t="s">
        <v>67</v>
      </c>
      <c r="I223" s="19" t="n">
        <v>1500</v>
      </c>
      <c r="J223" s="19" t="n">
        <v>0</v>
      </c>
      <c r="K223" s="19" t="n">
        <v>0</v>
      </c>
      <c r="L223" s="19" t="n">
        <f aca="false">G223*I223-J223+K223</f>
        <v>9000</v>
      </c>
    </row>
    <row r="224" customFormat="false" ht="18.75" hidden="false" customHeight="true" outlineLevel="0" collapsed="false">
      <c r="A224" s="20" t="n">
        <v>220</v>
      </c>
      <c r="B224" s="21" t="s">
        <v>243</v>
      </c>
      <c r="C224" s="24" t="s">
        <v>244</v>
      </c>
      <c r="D224" s="13" t="s">
        <v>38</v>
      </c>
      <c r="E224" s="13" t="s">
        <v>499</v>
      </c>
      <c r="F224" s="21" t="s">
        <v>39</v>
      </c>
      <c r="G224" s="22" t="n">
        <v>1</v>
      </c>
      <c r="H224" s="21" t="s">
        <v>67</v>
      </c>
      <c r="I224" s="22" t="n">
        <v>2650</v>
      </c>
      <c r="J224" s="22" t="n">
        <v>0</v>
      </c>
      <c r="K224" s="22" t="n">
        <v>0</v>
      </c>
      <c r="L224" s="22" t="n">
        <f aca="false">G224*I224-J224+K224</f>
        <v>2650</v>
      </c>
    </row>
    <row r="225" customFormat="false" ht="18.75" hidden="false" customHeight="true" outlineLevel="0" collapsed="false">
      <c r="A225" s="17" t="n">
        <v>221</v>
      </c>
      <c r="B225" s="18" t="s">
        <v>243</v>
      </c>
      <c r="C225" s="23" t="s">
        <v>244</v>
      </c>
      <c r="D225" s="9" t="s">
        <v>38</v>
      </c>
      <c r="E225" s="9" t="s">
        <v>486</v>
      </c>
      <c r="F225" s="18" t="s">
        <v>39</v>
      </c>
      <c r="G225" s="19" t="n">
        <v>4</v>
      </c>
      <c r="H225" s="18"/>
      <c r="I225" s="19" t="n">
        <v>900</v>
      </c>
      <c r="J225" s="19" t="n">
        <v>0</v>
      </c>
      <c r="K225" s="19" t="n">
        <v>0</v>
      </c>
      <c r="L225" s="19" t="n">
        <f aca="false">G225*I225-J225+K225</f>
        <v>3600</v>
      </c>
    </row>
    <row r="226" customFormat="false" ht="18.75" hidden="false" customHeight="true" outlineLevel="0" collapsed="false">
      <c r="A226" s="20" t="n">
        <v>222</v>
      </c>
      <c r="B226" s="21" t="s">
        <v>243</v>
      </c>
      <c r="C226" s="24" t="s">
        <v>244</v>
      </c>
      <c r="D226" s="13" t="s">
        <v>38</v>
      </c>
      <c r="E226" s="13" t="s">
        <v>500</v>
      </c>
      <c r="F226" s="21" t="s">
        <v>39</v>
      </c>
      <c r="G226" s="22" t="n">
        <v>3</v>
      </c>
      <c r="H226" s="21" t="s">
        <v>67</v>
      </c>
      <c r="I226" s="22" t="n">
        <v>400</v>
      </c>
      <c r="J226" s="22" t="n">
        <v>0</v>
      </c>
      <c r="K226" s="22" t="n">
        <v>0</v>
      </c>
      <c r="L226" s="22" t="n">
        <f aca="false">G226*I226-J226+K226</f>
        <v>1200</v>
      </c>
    </row>
    <row r="227" customFormat="false" ht="18.75" hidden="false" customHeight="true" outlineLevel="0" collapsed="false">
      <c r="A227" s="17" t="n">
        <v>223</v>
      </c>
      <c r="B227" s="18" t="s">
        <v>243</v>
      </c>
      <c r="C227" s="23" t="s">
        <v>244</v>
      </c>
      <c r="D227" s="9" t="s">
        <v>38</v>
      </c>
      <c r="E227" s="9" t="s">
        <v>69</v>
      </c>
      <c r="F227" s="18" t="s">
        <v>39</v>
      </c>
      <c r="G227" s="19" t="n">
        <v>4</v>
      </c>
      <c r="H227" s="18" t="s">
        <v>67</v>
      </c>
      <c r="I227" s="19" t="n">
        <v>5500</v>
      </c>
      <c r="J227" s="19" t="n">
        <v>0</v>
      </c>
      <c r="K227" s="19" t="n">
        <v>0</v>
      </c>
      <c r="L227" s="19" t="n">
        <f aca="false">G227*I227-J227+K227</f>
        <v>22000</v>
      </c>
    </row>
    <row r="228" customFormat="false" ht="18.75" hidden="false" customHeight="true" outlineLevel="0" collapsed="false">
      <c r="A228" s="20" t="n">
        <v>224</v>
      </c>
      <c r="B228" s="21" t="s">
        <v>245</v>
      </c>
      <c r="C228" s="24" t="s">
        <v>244</v>
      </c>
      <c r="D228" s="13" t="s">
        <v>40</v>
      </c>
      <c r="E228" s="13" t="s">
        <v>64</v>
      </c>
      <c r="F228" s="21" t="s">
        <v>39</v>
      </c>
      <c r="G228" s="22" t="n">
        <v>1283.25</v>
      </c>
      <c r="H228" s="21" t="s">
        <v>65</v>
      </c>
      <c r="I228" s="22" t="n">
        <v>16.25</v>
      </c>
      <c r="J228" s="22" t="n">
        <v>0</v>
      </c>
      <c r="K228" s="22" t="n">
        <v>0</v>
      </c>
      <c r="L228" s="22" t="n">
        <f aca="false">G228*I228-J228+K228</f>
        <v>20852.8125</v>
      </c>
    </row>
    <row r="229" customFormat="false" ht="18.75" hidden="false" customHeight="true" outlineLevel="0" collapsed="false">
      <c r="A229" s="17" t="n">
        <v>225</v>
      </c>
      <c r="B229" s="18" t="s">
        <v>245</v>
      </c>
      <c r="C229" s="23" t="s">
        <v>244</v>
      </c>
      <c r="D229" s="9" t="s">
        <v>40</v>
      </c>
      <c r="E229" s="9" t="s">
        <v>64</v>
      </c>
      <c r="F229" s="18" t="s">
        <v>39</v>
      </c>
      <c r="G229" s="19" t="n">
        <v>3928.5</v>
      </c>
      <c r="H229" s="18" t="s">
        <v>65</v>
      </c>
      <c r="I229" s="19" t="n">
        <v>15.25</v>
      </c>
      <c r="J229" s="19" t="n">
        <v>0</v>
      </c>
      <c r="K229" s="19" t="n">
        <v>0</v>
      </c>
      <c r="L229" s="19" t="n">
        <f aca="false">G229*I229-J229+K229</f>
        <v>59909.625</v>
      </c>
    </row>
    <row r="230" customFormat="false" ht="18.75" hidden="false" customHeight="true" outlineLevel="0" collapsed="false">
      <c r="A230" s="20" t="n">
        <v>226</v>
      </c>
      <c r="B230" s="21" t="s">
        <v>246</v>
      </c>
      <c r="C230" s="24" t="s">
        <v>247</v>
      </c>
      <c r="D230" s="13" t="s">
        <v>121</v>
      </c>
      <c r="E230" s="13" t="s">
        <v>496</v>
      </c>
      <c r="F230" s="21" t="s">
        <v>39</v>
      </c>
      <c r="G230" s="22" t="n">
        <v>1</v>
      </c>
      <c r="H230" s="21" t="s">
        <v>67</v>
      </c>
      <c r="I230" s="22" t="n">
        <v>23000</v>
      </c>
      <c r="J230" s="22" t="n">
        <v>500</v>
      </c>
      <c r="K230" s="22" t="n">
        <v>0</v>
      </c>
      <c r="L230" s="22" t="n">
        <f aca="false">G230*I230-J230+K230</f>
        <v>22500</v>
      </c>
    </row>
    <row r="231" customFormat="false" ht="18.75" hidden="false" customHeight="true" outlineLevel="0" collapsed="false">
      <c r="A231" s="17" t="n">
        <v>227</v>
      </c>
      <c r="B231" s="18" t="s">
        <v>248</v>
      </c>
      <c r="C231" s="23" t="s">
        <v>247</v>
      </c>
      <c r="D231" s="9" t="s">
        <v>38</v>
      </c>
      <c r="E231" s="9" t="s">
        <v>449</v>
      </c>
      <c r="F231" s="18" t="s">
        <v>39</v>
      </c>
      <c r="G231" s="19" t="n">
        <v>1515</v>
      </c>
      <c r="H231" s="18" t="s">
        <v>73</v>
      </c>
      <c r="I231" s="19" t="n">
        <v>11</v>
      </c>
      <c r="J231" s="19" t="n">
        <v>0</v>
      </c>
      <c r="K231" s="19" t="n">
        <v>0</v>
      </c>
      <c r="L231" s="19" t="n">
        <f aca="false">G231*I231-J231+K231</f>
        <v>16665</v>
      </c>
    </row>
    <row r="232" customFormat="false" ht="18.75" hidden="false" customHeight="true" outlineLevel="0" collapsed="false">
      <c r="A232" s="20" t="n">
        <v>228</v>
      </c>
      <c r="B232" s="21" t="s">
        <v>248</v>
      </c>
      <c r="C232" s="24" t="s">
        <v>247</v>
      </c>
      <c r="D232" s="13" t="s">
        <v>38</v>
      </c>
      <c r="E232" s="13" t="s">
        <v>64</v>
      </c>
      <c r="F232" s="21" t="s">
        <v>39</v>
      </c>
      <c r="G232" s="22" t="n">
        <v>2687</v>
      </c>
      <c r="H232" s="21" t="s">
        <v>65</v>
      </c>
      <c r="I232" s="22" t="n">
        <v>16.5</v>
      </c>
      <c r="J232" s="22" t="n">
        <v>0</v>
      </c>
      <c r="K232" s="22" t="n">
        <v>0</v>
      </c>
      <c r="L232" s="22" t="n">
        <f aca="false">G232*I232-J232+K232</f>
        <v>44335.5</v>
      </c>
    </row>
    <row r="233" customFormat="false" ht="18.75" hidden="false" customHeight="true" outlineLevel="0" collapsed="false">
      <c r="A233" s="17" t="n">
        <v>229</v>
      </c>
      <c r="B233" s="18" t="s">
        <v>248</v>
      </c>
      <c r="C233" s="23" t="s">
        <v>247</v>
      </c>
      <c r="D233" s="9" t="s">
        <v>38</v>
      </c>
      <c r="E233" s="9" t="s">
        <v>501</v>
      </c>
      <c r="F233" s="18" t="s">
        <v>39</v>
      </c>
      <c r="G233" s="19" t="n">
        <v>1316</v>
      </c>
      <c r="H233" s="18" t="s">
        <v>65</v>
      </c>
      <c r="I233" s="19" t="n">
        <v>15.5</v>
      </c>
      <c r="J233" s="19" t="n">
        <v>0</v>
      </c>
      <c r="K233" s="19" t="n">
        <v>0</v>
      </c>
      <c r="L233" s="19" t="n">
        <f aca="false">G233*I233-J233+K233</f>
        <v>20398</v>
      </c>
    </row>
    <row r="234" customFormat="false" ht="18.75" hidden="false" customHeight="true" outlineLevel="0" collapsed="false">
      <c r="A234" s="20" t="n">
        <v>230</v>
      </c>
      <c r="B234" s="21" t="s">
        <v>248</v>
      </c>
      <c r="C234" s="24" t="s">
        <v>247</v>
      </c>
      <c r="D234" s="13" t="s">
        <v>38</v>
      </c>
      <c r="E234" s="13" t="s">
        <v>494</v>
      </c>
      <c r="F234" s="21" t="s">
        <v>39</v>
      </c>
      <c r="G234" s="22" t="n">
        <v>1</v>
      </c>
      <c r="H234" s="21" t="s">
        <v>67</v>
      </c>
      <c r="I234" s="22" t="n">
        <v>6600</v>
      </c>
      <c r="J234" s="22" t="n">
        <v>0</v>
      </c>
      <c r="K234" s="22" t="n">
        <v>0</v>
      </c>
      <c r="L234" s="22" t="n">
        <f aca="false">G234*I234-J234+K234</f>
        <v>6600</v>
      </c>
    </row>
    <row r="235" customFormat="false" ht="18.75" hidden="false" customHeight="true" outlineLevel="0" collapsed="false">
      <c r="A235" s="17" t="n">
        <v>231</v>
      </c>
      <c r="B235" s="18" t="s">
        <v>248</v>
      </c>
      <c r="C235" s="23" t="s">
        <v>247</v>
      </c>
      <c r="D235" s="9" t="s">
        <v>38</v>
      </c>
      <c r="E235" s="9" t="s">
        <v>72</v>
      </c>
      <c r="F235" s="18" t="s">
        <v>39</v>
      </c>
      <c r="G235" s="19" t="n">
        <v>614</v>
      </c>
      <c r="H235" s="18" t="s">
        <v>73</v>
      </c>
      <c r="I235" s="19" t="n">
        <v>22</v>
      </c>
      <c r="J235" s="19" t="n">
        <v>0</v>
      </c>
      <c r="K235" s="19" t="n">
        <v>0</v>
      </c>
      <c r="L235" s="19" t="n">
        <f aca="false">G235*I235-J235+K235</f>
        <v>13508</v>
      </c>
    </row>
    <row r="236" customFormat="false" ht="18.75" hidden="false" customHeight="true" outlineLevel="0" collapsed="false">
      <c r="A236" s="20" t="n">
        <v>232</v>
      </c>
      <c r="B236" s="21" t="s">
        <v>248</v>
      </c>
      <c r="C236" s="24" t="s">
        <v>247</v>
      </c>
      <c r="D236" s="13" t="s">
        <v>38</v>
      </c>
      <c r="E236" s="13" t="s">
        <v>492</v>
      </c>
      <c r="F236" s="21" t="s">
        <v>39</v>
      </c>
      <c r="G236" s="22" t="n">
        <v>9</v>
      </c>
      <c r="H236" s="21" t="s">
        <v>67</v>
      </c>
      <c r="I236" s="22" t="n">
        <v>1500</v>
      </c>
      <c r="J236" s="22" t="n">
        <v>0</v>
      </c>
      <c r="K236" s="22" t="n">
        <v>0</v>
      </c>
      <c r="L236" s="22" t="n">
        <f aca="false">G236*I236-J236+K236</f>
        <v>13500</v>
      </c>
    </row>
    <row r="237" customFormat="false" ht="18.75" hidden="false" customHeight="true" outlineLevel="0" collapsed="false">
      <c r="A237" s="17" t="n">
        <v>233</v>
      </c>
      <c r="B237" s="18" t="s">
        <v>248</v>
      </c>
      <c r="C237" s="23" t="s">
        <v>247</v>
      </c>
      <c r="D237" s="9" t="s">
        <v>38</v>
      </c>
      <c r="E237" s="9" t="s">
        <v>499</v>
      </c>
      <c r="F237" s="18" t="s">
        <v>39</v>
      </c>
      <c r="G237" s="19" t="n">
        <v>1</v>
      </c>
      <c r="H237" s="18" t="s">
        <v>67</v>
      </c>
      <c r="I237" s="19" t="n">
        <v>2650</v>
      </c>
      <c r="J237" s="19" t="n">
        <v>0</v>
      </c>
      <c r="K237" s="19" t="n">
        <v>0</v>
      </c>
      <c r="L237" s="19" t="n">
        <f aca="false">G237*I237-J237+K237</f>
        <v>2650</v>
      </c>
    </row>
    <row r="238" customFormat="false" ht="18.75" hidden="false" customHeight="true" outlineLevel="0" collapsed="false">
      <c r="A238" s="20" t="n">
        <v>234</v>
      </c>
      <c r="B238" s="21" t="s">
        <v>248</v>
      </c>
      <c r="C238" s="24" t="s">
        <v>247</v>
      </c>
      <c r="D238" s="13" t="s">
        <v>38</v>
      </c>
      <c r="E238" s="13" t="s">
        <v>469</v>
      </c>
      <c r="F238" s="21" t="s">
        <v>39</v>
      </c>
      <c r="G238" s="22" t="n">
        <v>2</v>
      </c>
      <c r="H238" s="21"/>
      <c r="I238" s="22" t="n">
        <v>2150</v>
      </c>
      <c r="J238" s="22" t="n">
        <v>0</v>
      </c>
      <c r="K238" s="22" t="n">
        <v>0</v>
      </c>
      <c r="L238" s="22" t="n">
        <f aca="false">G238*I238-J238+K238</f>
        <v>4300</v>
      </c>
    </row>
    <row r="239" customFormat="false" ht="18.75" hidden="false" customHeight="true" outlineLevel="0" collapsed="false">
      <c r="A239" s="17" t="n">
        <v>235</v>
      </c>
      <c r="B239" s="18" t="s">
        <v>248</v>
      </c>
      <c r="C239" s="23" t="s">
        <v>247</v>
      </c>
      <c r="D239" s="9" t="s">
        <v>38</v>
      </c>
      <c r="E239" s="9" t="s">
        <v>502</v>
      </c>
      <c r="F239" s="18" t="s">
        <v>39</v>
      </c>
      <c r="G239" s="19" t="n">
        <v>1</v>
      </c>
      <c r="H239" s="18"/>
      <c r="I239" s="19" t="n">
        <v>3450</v>
      </c>
      <c r="J239" s="19" t="n">
        <v>0</v>
      </c>
      <c r="K239" s="19" t="n">
        <v>0</v>
      </c>
      <c r="L239" s="19" t="n">
        <f aca="false">G239*I239-J239+K239</f>
        <v>3450</v>
      </c>
    </row>
    <row r="240" customFormat="false" ht="18.75" hidden="false" customHeight="true" outlineLevel="0" collapsed="false">
      <c r="A240" s="20" t="n">
        <v>236</v>
      </c>
      <c r="B240" s="21" t="s">
        <v>250</v>
      </c>
      <c r="C240" s="24" t="s">
        <v>251</v>
      </c>
      <c r="D240" s="13" t="s">
        <v>46</v>
      </c>
      <c r="E240" s="13" t="s">
        <v>503</v>
      </c>
      <c r="F240" s="21" t="s">
        <v>39</v>
      </c>
      <c r="G240" s="22" t="n">
        <v>1</v>
      </c>
      <c r="H240" s="21"/>
      <c r="I240" s="22" t="n">
        <v>57000</v>
      </c>
      <c r="J240" s="22" t="n">
        <v>0</v>
      </c>
      <c r="K240" s="22" t="n">
        <v>0</v>
      </c>
      <c r="L240" s="22" t="n">
        <f aca="false">G240*I240-J240+K240</f>
        <v>57000</v>
      </c>
    </row>
    <row r="241" customFormat="false" ht="18.75" hidden="false" customHeight="true" outlineLevel="0" collapsed="false">
      <c r="A241" s="17" t="n">
        <v>237</v>
      </c>
      <c r="B241" s="18" t="s">
        <v>252</v>
      </c>
      <c r="C241" s="23" t="s">
        <v>253</v>
      </c>
      <c r="D241" s="9" t="s">
        <v>56</v>
      </c>
      <c r="E241" s="9" t="s">
        <v>76</v>
      </c>
      <c r="F241" s="18" t="s">
        <v>39</v>
      </c>
      <c r="G241" s="19" t="n">
        <v>400</v>
      </c>
      <c r="H241" s="18" t="s">
        <v>67</v>
      </c>
      <c r="I241" s="19" t="n">
        <v>96</v>
      </c>
      <c r="J241" s="19" t="n">
        <v>0</v>
      </c>
      <c r="K241" s="19" t="n">
        <v>1920</v>
      </c>
      <c r="L241" s="19" t="n">
        <f aca="false">G241*I241-J241+K241</f>
        <v>40320</v>
      </c>
    </row>
    <row r="242" customFormat="false" ht="18.75" hidden="false" customHeight="true" outlineLevel="0" collapsed="false">
      <c r="A242" s="20" t="n">
        <v>238</v>
      </c>
      <c r="B242" s="21" t="s">
        <v>254</v>
      </c>
      <c r="C242" s="24" t="s">
        <v>255</v>
      </c>
      <c r="D242" s="13" t="s">
        <v>38</v>
      </c>
      <c r="E242" s="13" t="s">
        <v>66</v>
      </c>
      <c r="F242" s="21" t="s">
        <v>39</v>
      </c>
      <c r="G242" s="22" t="n">
        <v>500</v>
      </c>
      <c r="H242" s="21" t="s">
        <v>67</v>
      </c>
      <c r="I242" s="22" t="n">
        <v>250</v>
      </c>
      <c r="J242" s="22" t="n">
        <v>0</v>
      </c>
      <c r="K242" s="22" t="n">
        <v>0</v>
      </c>
      <c r="L242" s="22" t="n">
        <f aca="false">G242*I242-J242+K242</f>
        <v>125000</v>
      </c>
    </row>
    <row r="243" customFormat="false" ht="18.75" hidden="false" customHeight="true" outlineLevel="0" collapsed="false">
      <c r="A243" s="17" t="n">
        <v>239</v>
      </c>
      <c r="B243" s="18" t="s">
        <v>256</v>
      </c>
      <c r="C243" s="23" t="s">
        <v>257</v>
      </c>
      <c r="D243" s="9" t="s">
        <v>40</v>
      </c>
      <c r="E243" s="9" t="s">
        <v>64</v>
      </c>
      <c r="F243" s="18" t="s">
        <v>39</v>
      </c>
      <c r="G243" s="19" t="n">
        <v>2595.25</v>
      </c>
      <c r="H243" s="18" t="s">
        <v>65</v>
      </c>
      <c r="I243" s="19" t="n">
        <v>16</v>
      </c>
      <c r="J243" s="19" t="n">
        <v>0</v>
      </c>
      <c r="K243" s="19" t="n">
        <v>0</v>
      </c>
      <c r="L243" s="19" t="n">
        <f aca="false">G243*I243-J243+K243</f>
        <v>41524</v>
      </c>
    </row>
    <row r="244" customFormat="false" ht="18.75" hidden="false" customHeight="true" outlineLevel="0" collapsed="false">
      <c r="A244" s="20" t="n">
        <v>240</v>
      </c>
      <c r="B244" s="21" t="s">
        <v>256</v>
      </c>
      <c r="C244" s="24" t="s">
        <v>257</v>
      </c>
      <c r="D244" s="13" t="s">
        <v>40</v>
      </c>
      <c r="E244" s="13" t="s">
        <v>501</v>
      </c>
      <c r="F244" s="21" t="s">
        <v>39</v>
      </c>
      <c r="G244" s="22" t="n">
        <v>1055</v>
      </c>
      <c r="H244" s="21" t="s">
        <v>65</v>
      </c>
      <c r="I244" s="22" t="n">
        <v>15</v>
      </c>
      <c r="J244" s="22" t="n">
        <v>0</v>
      </c>
      <c r="K244" s="22" t="n">
        <v>0</v>
      </c>
      <c r="L244" s="22" t="n">
        <f aca="false">G244*I244-J244+K244</f>
        <v>15825</v>
      </c>
    </row>
    <row r="245" customFormat="false" ht="18.75" hidden="false" customHeight="true" outlineLevel="0" collapsed="false">
      <c r="A245" s="17" t="n">
        <v>241</v>
      </c>
      <c r="B245" s="18" t="s">
        <v>258</v>
      </c>
      <c r="C245" s="23" t="s">
        <v>257</v>
      </c>
      <c r="D245" s="9" t="s">
        <v>46</v>
      </c>
      <c r="E245" s="9" t="s">
        <v>453</v>
      </c>
      <c r="F245" s="18" t="s">
        <v>39</v>
      </c>
      <c r="G245" s="19" t="n">
        <v>4</v>
      </c>
      <c r="H245" s="18"/>
      <c r="I245" s="19" t="n">
        <v>1700</v>
      </c>
      <c r="J245" s="19" t="n">
        <v>0</v>
      </c>
      <c r="K245" s="19" t="n">
        <v>0</v>
      </c>
      <c r="L245" s="19" t="n">
        <f aca="false">G245*I245-J245+K245</f>
        <v>6800</v>
      </c>
    </row>
    <row r="246" customFormat="false" ht="18.75" hidden="false" customHeight="true" outlineLevel="0" collapsed="false">
      <c r="A246" s="20" t="n">
        <v>242</v>
      </c>
      <c r="B246" s="21" t="s">
        <v>258</v>
      </c>
      <c r="C246" s="24" t="s">
        <v>257</v>
      </c>
      <c r="D246" s="13" t="s">
        <v>46</v>
      </c>
      <c r="E246" s="13" t="s">
        <v>64</v>
      </c>
      <c r="F246" s="21" t="s">
        <v>39</v>
      </c>
      <c r="G246" s="22" t="n">
        <v>1435.5</v>
      </c>
      <c r="H246" s="21" t="s">
        <v>65</v>
      </c>
      <c r="I246" s="22" t="n">
        <v>16</v>
      </c>
      <c r="J246" s="22" t="n">
        <v>0</v>
      </c>
      <c r="K246" s="22" t="n">
        <v>0</v>
      </c>
      <c r="L246" s="22" t="n">
        <f aca="false">G246*I246-J246+K246</f>
        <v>22968</v>
      </c>
    </row>
    <row r="247" customFormat="false" ht="18.75" hidden="false" customHeight="true" outlineLevel="0" collapsed="false">
      <c r="A247" s="17" t="n">
        <v>243</v>
      </c>
      <c r="B247" s="18" t="s">
        <v>259</v>
      </c>
      <c r="C247" s="23" t="s">
        <v>260</v>
      </c>
      <c r="D247" s="9" t="s">
        <v>38</v>
      </c>
      <c r="E247" s="9" t="s">
        <v>64</v>
      </c>
      <c r="F247" s="18" t="s">
        <v>39</v>
      </c>
      <c r="G247" s="19" t="n">
        <v>2759.25</v>
      </c>
      <c r="H247" s="18" t="s">
        <v>65</v>
      </c>
      <c r="I247" s="19" t="n">
        <v>16</v>
      </c>
      <c r="J247" s="19" t="n">
        <v>0</v>
      </c>
      <c r="K247" s="19" t="n">
        <v>0</v>
      </c>
      <c r="L247" s="19" t="n">
        <f aca="false">G247*I247-J247+K247</f>
        <v>44148</v>
      </c>
    </row>
    <row r="248" customFormat="false" ht="18.75" hidden="false" customHeight="true" outlineLevel="0" collapsed="false">
      <c r="A248" s="20" t="n">
        <v>244</v>
      </c>
      <c r="B248" s="21" t="s">
        <v>259</v>
      </c>
      <c r="C248" s="24" t="s">
        <v>260</v>
      </c>
      <c r="D248" s="13" t="s">
        <v>38</v>
      </c>
      <c r="E248" s="13" t="s">
        <v>501</v>
      </c>
      <c r="F248" s="21" t="s">
        <v>39</v>
      </c>
      <c r="G248" s="22" t="n">
        <v>1289.5</v>
      </c>
      <c r="H248" s="21" t="s">
        <v>65</v>
      </c>
      <c r="I248" s="22" t="n">
        <v>15</v>
      </c>
      <c r="J248" s="22" t="n">
        <v>0</v>
      </c>
      <c r="K248" s="22" t="n">
        <v>0</v>
      </c>
      <c r="L248" s="22" t="n">
        <f aca="false">G248*I248-J248+K248</f>
        <v>19342.5</v>
      </c>
    </row>
    <row r="249" customFormat="false" ht="18.75" hidden="false" customHeight="true" outlineLevel="0" collapsed="false">
      <c r="A249" s="17" t="n">
        <v>245</v>
      </c>
      <c r="B249" s="18" t="s">
        <v>259</v>
      </c>
      <c r="C249" s="23" t="s">
        <v>260</v>
      </c>
      <c r="D249" s="9" t="s">
        <v>38</v>
      </c>
      <c r="E249" s="9" t="s">
        <v>504</v>
      </c>
      <c r="F249" s="18" t="s">
        <v>39</v>
      </c>
      <c r="G249" s="19" t="n">
        <v>35</v>
      </c>
      <c r="H249" s="18" t="s">
        <v>67</v>
      </c>
      <c r="I249" s="19" t="n">
        <v>220</v>
      </c>
      <c r="J249" s="19" t="n">
        <v>0</v>
      </c>
      <c r="K249" s="19" t="n">
        <v>0</v>
      </c>
      <c r="L249" s="19" t="n">
        <f aca="false">G249*I249-J249+K249</f>
        <v>7700</v>
      </c>
    </row>
    <row r="250" customFormat="false" ht="18.75" hidden="false" customHeight="true" outlineLevel="0" collapsed="false">
      <c r="A250" s="20" t="n">
        <v>246</v>
      </c>
      <c r="B250" s="21" t="s">
        <v>259</v>
      </c>
      <c r="C250" s="24" t="s">
        <v>260</v>
      </c>
      <c r="D250" s="13" t="s">
        <v>38</v>
      </c>
      <c r="E250" s="13" t="s">
        <v>499</v>
      </c>
      <c r="F250" s="21" t="s">
        <v>39</v>
      </c>
      <c r="G250" s="22" t="n">
        <v>3</v>
      </c>
      <c r="H250" s="21" t="s">
        <v>67</v>
      </c>
      <c r="I250" s="22" t="n">
        <v>2650</v>
      </c>
      <c r="J250" s="22" t="n">
        <v>0</v>
      </c>
      <c r="K250" s="22" t="n">
        <v>0</v>
      </c>
      <c r="L250" s="22" t="n">
        <f aca="false">G250*I250-J250+K250</f>
        <v>7950</v>
      </c>
    </row>
    <row r="251" customFormat="false" ht="18.75" hidden="false" customHeight="true" outlineLevel="0" collapsed="false">
      <c r="A251" s="17" t="n">
        <v>247</v>
      </c>
      <c r="B251" s="18" t="s">
        <v>259</v>
      </c>
      <c r="C251" s="23" t="s">
        <v>260</v>
      </c>
      <c r="D251" s="9" t="s">
        <v>38</v>
      </c>
      <c r="E251" s="9" t="s">
        <v>502</v>
      </c>
      <c r="F251" s="18" t="s">
        <v>39</v>
      </c>
      <c r="G251" s="19" t="n">
        <v>1</v>
      </c>
      <c r="H251" s="18"/>
      <c r="I251" s="19" t="n">
        <v>3450</v>
      </c>
      <c r="J251" s="19" t="n">
        <v>0</v>
      </c>
      <c r="K251" s="19" t="n">
        <v>0</v>
      </c>
      <c r="L251" s="19" t="n">
        <f aca="false">G251*I251-J251+K251</f>
        <v>3450</v>
      </c>
    </row>
    <row r="252" customFormat="false" ht="18.75" hidden="false" customHeight="true" outlineLevel="0" collapsed="false">
      <c r="A252" s="20" t="n">
        <v>248</v>
      </c>
      <c r="B252" s="21" t="s">
        <v>259</v>
      </c>
      <c r="C252" s="24" t="s">
        <v>260</v>
      </c>
      <c r="D252" s="13" t="s">
        <v>38</v>
      </c>
      <c r="E252" s="13" t="s">
        <v>456</v>
      </c>
      <c r="F252" s="21" t="s">
        <v>39</v>
      </c>
      <c r="G252" s="22" t="n">
        <v>101.5</v>
      </c>
      <c r="H252" s="21" t="s">
        <v>65</v>
      </c>
      <c r="I252" s="22" t="n">
        <v>55</v>
      </c>
      <c r="J252" s="22" t="n">
        <v>0</v>
      </c>
      <c r="K252" s="22" t="n">
        <v>0</v>
      </c>
      <c r="L252" s="22" t="n">
        <f aca="false">G252*I252-J252+K252</f>
        <v>5582.5</v>
      </c>
    </row>
    <row r="253" customFormat="false" ht="18.75" hidden="false" customHeight="true" outlineLevel="0" collapsed="false">
      <c r="A253" s="17" t="n">
        <v>249</v>
      </c>
      <c r="B253" s="18" t="s">
        <v>259</v>
      </c>
      <c r="C253" s="23" t="s">
        <v>260</v>
      </c>
      <c r="D253" s="9" t="s">
        <v>38</v>
      </c>
      <c r="E253" s="9" t="s">
        <v>72</v>
      </c>
      <c r="F253" s="18" t="s">
        <v>39</v>
      </c>
      <c r="G253" s="19" t="n">
        <v>680</v>
      </c>
      <c r="H253" s="18" t="s">
        <v>73</v>
      </c>
      <c r="I253" s="19" t="n">
        <v>21</v>
      </c>
      <c r="J253" s="19" t="n">
        <v>0</v>
      </c>
      <c r="K253" s="19" t="n">
        <v>0</v>
      </c>
      <c r="L253" s="19" t="n">
        <f aca="false">G253*I253-J253+K253</f>
        <v>14280</v>
      </c>
    </row>
    <row r="254" customFormat="false" ht="18.75" hidden="false" customHeight="true" outlineLevel="0" collapsed="false">
      <c r="A254" s="20" t="n">
        <v>250</v>
      </c>
      <c r="B254" s="21" t="s">
        <v>259</v>
      </c>
      <c r="C254" s="24" t="s">
        <v>260</v>
      </c>
      <c r="D254" s="13" t="s">
        <v>38</v>
      </c>
      <c r="E254" s="13" t="s">
        <v>463</v>
      </c>
      <c r="F254" s="21" t="s">
        <v>39</v>
      </c>
      <c r="G254" s="22" t="n">
        <v>20</v>
      </c>
      <c r="H254" s="21" t="s">
        <v>67</v>
      </c>
      <c r="I254" s="22" t="n">
        <v>250</v>
      </c>
      <c r="J254" s="22" t="n">
        <v>0</v>
      </c>
      <c r="K254" s="22" t="n">
        <v>0</v>
      </c>
      <c r="L254" s="22" t="n">
        <f aca="false">G254*I254-J254+K254</f>
        <v>5000</v>
      </c>
    </row>
    <row r="255" customFormat="false" ht="18.75" hidden="false" customHeight="true" outlineLevel="0" collapsed="false">
      <c r="A255" s="17" t="n">
        <v>251</v>
      </c>
      <c r="B255" s="18" t="s">
        <v>261</v>
      </c>
      <c r="C255" s="23" t="s">
        <v>262</v>
      </c>
      <c r="D255" s="9" t="s">
        <v>56</v>
      </c>
      <c r="E255" s="9" t="s">
        <v>76</v>
      </c>
      <c r="F255" s="18" t="s">
        <v>39</v>
      </c>
      <c r="G255" s="19" t="n">
        <v>400</v>
      </c>
      <c r="H255" s="18" t="s">
        <v>67</v>
      </c>
      <c r="I255" s="19" t="n">
        <v>96</v>
      </c>
      <c r="J255" s="19" t="n">
        <v>0</v>
      </c>
      <c r="K255" s="19" t="n">
        <v>1920</v>
      </c>
      <c r="L255" s="19" t="n">
        <f aca="false">G255*I255-J255+K255</f>
        <v>40320</v>
      </c>
    </row>
    <row r="256" customFormat="false" ht="18.75" hidden="false" customHeight="true" outlineLevel="0" collapsed="false">
      <c r="A256" s="20" t="n">
        <v>252</v>
      </c>
      <c r="B256" s="21" t="s">
        <v>263</v>
      </c>
      <c r="C256" s="24" t="s">
        <v>264</v>
      </c>
      <c r="D256" s="13" t="s">
        <v>38</v>
      </c>
      <c r="E256" s="13" t="s">
        <v>457</v>
      </c>
      <c r="F256" s="21" t="s">
        <v>39</v>
      </c>
      <c r="G256" s="22" t="n">
        <v>1</v>
      </c>
      <c r="H256" s="21" t="s">
        <v>67</v>
      </c>
      <c r="I256" s="22" t="n">
        <v>3900</v>
      </c>
      <c r="J256" s="22" t="n">
        <v>0</v>
      </c>
      <c r="K256" s="22" t="n">
        <v>0</v>
      </c>
      <c r="L256" s="22" t="n">
        <f aca="false">G256*I256-J256+K256</f>
        <v>3900</v>
      </c>
    </row>
    <row r="257" customFormat="false" ht="18.75" hidden="false" customHeight="true" outlineLevel="0" collapsed="false">
      <c r="A257" s="17" t="n">
        <v>253</v>
      </c>
      <c r="B257" s="18" t="s">
        <v>265</v>
      </c>
      <c r="C257" s="23" t="s">
        <v>266</v>
      </c>
      <c r="D257" s="9" t="s">
        <v>40</v>
      </c>
      <c r="E257" s="9" t="s">
        <v>470</v>
      </c>
      <c r="F257" s="18" t="s">
        <v>39</v>
      </c>
      <c r="G257" s="19" t="n">
        <v>8964.75</v>
      </c>
      <c r="H257" s="18" t="s">
        <v>73</v>
      </c>
      <c r="I257" s="19" t="n">
        <v>9.5</v>
      </c>
      <c r="J257" s="19" t="n">
        <v>0</v>
      </c>
      <c r="K257" s="19" t="n">
        <v>0</v>
      </c>
      <c r="L257" s="19" t="n">
        <f aca="false">G257*I257-J257+K257</f>
        <v>85165.125</v>
      </c>
    </row>
    <row r="258" customFormat="false" ht="18.75" hidden="false" customHeight="true" outlineLevel="0" collapsed="false">
      <c r="A258" s="20" t="n">
        <v>254</v>
      </c>
      <c r="B258" s="21" t="s">
        <v>267</v>
      </c>
      <c r="C258" s="24" t="s">
        <v>266</v>
      </c>
      <c r="D258" s="13" t="s">
        <v>46</v>
      </c>
      <c r="E258" s="13" t="s">
        <v>459</v>
      </c>
      <c r="F258" s="21" t="s">
        <v>39</v>
      </c>
      <c r="G258" s="22" t="n">
        <v>361</v>
      </c>
      <c r="H258" s="21" t="s">
        <v>65</v>
      </c>
      <c r="I258" s="22" t="n">
        <v>16</v>
      </c>
      <c r="J258" s="22" t="n">
        <v>0</v>
      </c>
      <c r="K258" s="22" t="n">
        <v>0</v>
      </c>
      <c r="L258" s="22" t="n">
        <f aca="false">G258*I258-J258+K258</f>
        <v>5776</v>
      </c>
    </row>
    <row r="259" customFormat="false" ht="18.75" hidden="false" customHeight="true" outlineLevel="0" collapsed="false">
      <c r="A259" s="17" t="n">
        <v>255</v>
      </c>
      <c r="B259" s="18" t="s">
        <v>268</v>
      </c>
      <c r="C259" s="23" t="s">
        <v>269</v>
      </c>
      <c r="D259" s="9" t="s">
        <v>38</v>
      </c>
      <c r="E259" s="9" t="s">
        <v>505</v>
      </c>
      <c r="F259" s="18" t="s">
        <v>39</v>
      </c>
      <c r="G259" s="19" t="n">
        <v>10</v>
      </c>
      <c r="H259" s="18" t="s">
        <v>67</v>
      </c>
      <c r="I259" s="19" t="n">
        <v>460</v>
      </c>
      <c r="J259" s="19" t="n">
        <v>0</v>
      </c>
      <c r="K259" s="19" t="n">
        <v>0</v>
      </c>
      <c r="L259" s="19" t="n">
        <f aca="false">G259*I259-J259+K259</f>
        <v>4600</v>
      </c>
    </row>
    <row r="260" customFormat="false" ht="18.75" hidden="false" customHeight="true" outlineLevel="0" collapsed="false">
      <c r="A260" s="20" t="n">
        <v>256</v>
      </c>
      <c r="B260" s="21" t="s">
        <v>268</v>
      </c>
      <c r="C260" s="24" t="s">
        <v>269</v>
      </c>
      <c r="D260" s="13" t="s">
        <v>38</v>
      </c>
      <c r="E260" s="13" t="s">
        <v>462</v>
      </c>
      <c r="F260" s="21" t="s">
        <v>39</v>
      </c>
      <c r="G260" s="22" t="n">
        <v>650</v>
      </c>
      <c r="H260" s="21" t="s">
        <v>67</v>
      </c>
      <c r="I260" s="22" t="n">
        <v>15</v>
      </c>
      <c r="J260" s="22" t="n">
        <v>0</v>
      </c>
      <c r="K260" s="22" t="n">
        <v>0</v>
      </c>
      <c r="L260" s="22" t="n">
        <f aca="false">G260*I260-J260+K260</f>
        <v>9750</v>
      </c>
    </row>
    <row r="261" customFormat="false" ht="18.75" hidden="false" customHeight="true" outlineLevel="0" collapsed="false">
      <c r="A261" s="17" t="n">
        <v>257</v>
      </c>
      <c r="B261" s="18" t="s">
        <v>268</v>
      </c>
      <c r="C261" s="23" t="s">
        <v>269</v>
      </c>
      <c r="D261" s="9" t="s">
        <v>38</v>
      </c>
      <c r="E261" s="9" t="s">
        <v>463</v>
      </c>
      <c r="F261" s="18" t="s">
        <v>39</v>
      </c>
      <c r="G261" s="19" t="n">
        <v>225</v>
      </c>
      <c r="H261" s="18" t="s">
        <v>67</v>
      </c>
      <c r="I261" s="19" t="n">
        <v>25</v>
      </c>
      <c r="J261" s="19" t="n">
        <v>0</v>
      </c>
      <c r="K261" s="19" t="n">
        <v>0</v>
      </c>
      <c r="L261" s="19" t="n">
        <f aca="false">G261*I261-J261+K261</f>
        <v>5625</v>
      </c>
    </row>
    <row r="262" customFormat="false" ht="18.75" hidden="false" customHeight="true" outlineLevel="0" collapsed="false">
      <c r="A262" s="20" t="n">
        <v>258</v>
      </c>
      <c r="B262" s="21" t="s">
        <v>268</v>
      </c>
      <c r="C262" s="24" t="s">
        <v>269</v>
      </c>
      <c r="D262" s="13" t="s">
        <v>38</v>
      </c>
      <c r="E262" s="13" t="s">
        <v>506</v>
      </c>
      <c r="F262" s="21" t="s">
        <v>39</v>
      </c>
      <c r="G262" s="22" t="n">
        <v>4</v>
      </c>
      <c r="H262" s="21" t="s">
        <v>67</v>
      </c>
      <c r="I262" s="22" t="n">
        <v>1200</v>
      </c>
      <c r="J262" s="22" t="n">
        <v>0</v>
      </c>
      <c r="K262" s="22" t="n">
        <v>0</v>
      </c>
      <c r="L262" s="22" t="n">
        <f aca="false">G262*I262-J262+K262</f>
        <v>4800</v>
      </c>
    </row>
    <row r="263" customFormat="false" ht="18.75" hidden="false" customHeight="true" outlineLevel="0" collapsed="false">
      <c r="A263" s="17" t="n">
        <v>259</v>
      </c>
      <c r="B263" s="18" t="s">
        <v>268</v>
      </c>
      <c r="C263" s="23" t="s">
        <v>269</v>
      </c>
      <c r="D263" s="9" t="s">
        <v>38</v>
      </c>
      <c r="E263" s="9" t="s">
        <v>457</v>
      </c>
      <c r="F263" s="18" t="s">
        <v>39</v>
      </c>
      <c r="G263" s="19" t="n">
        <v>1</v>
      </c>
      <c r="H263" s="18" t="s">
        <v>67</v>
      </c>
      <c r="I263" s="19" t="n">
        <v>3900</v>
      </c>
      <c r="J263" s="19" t="n">
        <v>0</v>
      </c>
      <c r="K263" s="19" t="n">
        <v>0</v>
      </c>
      <c r="L263" s="19" t="n">
        <f aca="false">G263*I263-J263+K263</f>
        <v>3900</v>
      </c>
    </row>
    <row r="264" customFormat="false" ht="18.75" hidden="false" customHeight="true" outlineLevel="0" collapsed="false">
      <c r="A264" s="20" t="n">
        <v>260</v>
      </c>
      <c r="B264" s="21" t="s">
        <v>268</v>
      </c>
      <c r="C264" s="24" t="s">
        <v>269</v>
      </c>
      <c r="D264" s="13" t="s">
        <v>38</v>
      </c>
      <c r="E264" s="13" t="s">
        <v>64</v>
      </c>
      <c r="F264" s="21" t="s">
        <v>39</v>
      </c>
      <c r="G264" s="22" t="n">
        <v>1617.25</v>
      </c>
      <c r="H264" s="21" t="s">
        <v>65</v>
      </c>
      <c r="I264" s="22" t="n">
        <v>16</v>
      </c>
      <c r="J264" s="22" t="n">
        <v>0</v>
      </c>
      <c r="K264" s="22" t="n">
        <v>0</v>
      </c>
      <c r="L264" s="22" t="n">
        <f aca="false">G264*I264-J264+K264</f>
        <v>25876</v>
      </c>
    </row>
    <row r="265" customFormat="false" ht="18.75" hidden="false" customHeight="true" outlineLevel="0" collapsed="false">
      <c r="A265" s="17" t="n">
        <v>261</v>
      </c>
      <c r="B265" s="18" t="s">
        <v>270</v>
      </c>
      <c r="C265" s="23" t="s">
        <v>271</v>
      </c>
      <c r="D265" s="9" t="s">
        <v>42</v>
      </c>
      <c r="E265" s="9" t="s">
        <v>64</v>
      </c>
      <c r="F265" s="18" t="s">
        <v>39</v>
      </c>
      <c r="G265" s="19" t="n">
        <v>1241.5</v>
      </c>
      <c r="H265" s="18" t="s">
        <v>65</v>
      </c>
      <c r="I265" s="19" t="n">
        <v>16</v>
      </c>
      <c r="J265" s="19" t="n">
        <v>0</v>
      </c>
      <c r="K265" s="19" t="n">
        <v>0</v>
      </c>
      <c r="L265" s="19" t="n">
        <f aca="false">G265*I265-J265+K265</f>
        <v>19864</v>
      </c>
    </row>
    <row r="266" customFormat="false" ht="18.75" hidden="false" customHeight="true" outlineLevel="0" collapsed="false">
      <c r="A266" s="20" t="n">
        <v>262</v>
      </c>
      <c r="B266" s="21" t="s">
        <v>270</v>
      </c>
      <c r="C266" s="24" t="s">
        <v>271</v>
      </c>
      <c r="D266" s="13" t="s">
        <v>42</v>
      </c>
      <c r="E266" s="13" t="s">
        <v>468</v>
      </c>
      <c r="F266" s="21" t="s">
        <v>39</v>
      </c>
      <c r="G266" s="22" t="n">
        <v>3</v>
      </c>
      <c r="H266" s="21" t="s">
        <v>67</v>
      </c>
      <c r="I266" s="22" t="n">
        <v>1584</v>
      </c>
      <c r="J266" s="22" t="n">
        <v>0</v>
      </c>
      <c r="K266" s="22" t="n">
        <v>0</v>
      </c>
      <c r="L266" s="22" t="n">
        <f aca="false">G266*I266-J266+K266</f>
        <v>4752</v>
      </c>
    </row>
    <row r="267" customFormat="false" ht="18.75" hidden="false" customHeight="true" outlineLevel="0" collapsed="false">
      <c r="A267" s="17" t="n">
        <v>263</v>
      </c>
      <c r="B267" s="18" t="s">
        <v>270</v>
      </c>
      <c r="C267" s="23" t="s">
        <v>271</v>
      </c>
      <c r="D267" s="9" t="s">
        <v>42</v>
      </c>
      <c r="E267" s="9" t="s">
        <v>507</v>
      </c>
      <c r="F267" s="18" t="s">
        <v>39</v>
      </c>
      <c r="G267" s="19" t="n">
        <v>2640</v>
      </c>
      <c r="H267" s="18" t="s">
        <v>67</v>
      </c>
      <c r="I267" s="19" t="n">
        <v>9</v>
      </c>
      <c r="J267" s="19" t="n">
        <v>0</v>
      </c>
      <c r="K267" s="19" t="n">
        <v>0</v>
      </c>
      <c r="L267" s="19" t="n">
        <f aca="false">G267*I267-J267+K267</f>
        <v>23760</v>
      </c>
    </row>
    <row r="268" customFormat="false" ht="18.75" hidden="false" customHeight="true" outlineLevel="0" collapsed="false">
      <c r="A268" s="20" t="n">
        <v>264</v>
      </c>
      <c r="B268" s="21" t="s">
        <v>270</v>
      </c>
      <c r="C268" s="24" t="s">
        <v>271</v>
      </c>
      <c r="D268" s="13" t="s">
        <v>42</v>
      </c>
      <c r="E268" s="13" t="s">
        <v>469</v>
      </c>
      <c r="F268" s="21" t="s">
        <v>39</v>
      </c>
      <c r="G268" s="22" t="n">
        <v>2</v>
      </c>
      <c r="H268" s="21"/>
      <c r="I268" s="22" t="n">
        <v>2310</v>
      </c>
      <c r="J268" s="22" t="n">
        <v>0</v>
      </c>
      <c r="K268" s="22" t="n">
        <v>0</v>
      </c>
      <c r="L268" s="22" t="n">
        <f aca="false">G268*I268-J268+K268</f>
        <v>4620</v>
      </c>
    </row>
    <row r="269" customFormat="false" ht="18.75" hidden="false" customHeight="true" outlineLevel="0" collapsed="false">
      <c r="A269" s="17" t="n">
        <v>265</v>
      </c>
      <c r="B269" s="18" t="s">
        <v>270</v>
      </c>
      <c r="C269" s="23" t="s">
        <v>271</v>
      </c>
      <c r="D269" s="9" t="s">
        <v>42</v>
      </c>
      <c r="E269" s="9" t="s">
        <v>451</v>
      </c>
      <c r="F269" s="18" t="s">
        <v>39</v>
      </c>
      <c r="G269" s="19" t="n">
        <v>1</v>
      </c>
      <c r="H269" s="18"/>
      <c r="I269" s="19" t="n">
        <v>3200</v>
      </c>
      <c r="J269" s="19" t="n">
        <v>0</v>
      </c>
      <c r="K269" s="19" t="n">
        <v>0</v>
      </c>
      <c r="L269" s="19" t="n">
        <f aca="false">G269*I269-J269+K269</f>
        <v>3200</v>
      </c>
    </row>
    <row r="270" customFormat="false" ht="18.75" hidden="false" customHeight="true" outlineLevel="0" collapsed="false">
      <c r="A270" s="20" t="n">
        <v>266</v>
      </c>
      <c r="B270" s="21" t="s">
        <v>272</v>
      </c>
      <c r="C270" s="24" t="s">
        <v>271</v>
      </c>
      <c r="D270" s="13" t="s">
        <v>38</v>
      </c>
      <c r="E270" s="13" t="s">
        <v>64</v>
      </c>
      <c r="F270" s="21" t="s">
        <v>39</v>
      </c>
      <c r="G270" s="22" t="n">
        <v>2654.75</v>
      </c>
      <c r="H270" s="21" t="s">
        <v>65</v>
      </c>
      <c r="I270" s="22" t="n">
        <v>16</v>
      </c>
      <c r="J270" s="22" t="n">
        <v>0</v>
      </c>
      <c r="K270" s="22" t="n">
        <v>0</v>
      </c>
      <c r="L270" s="22" t="n">
        <f aca="false">G270*I270-J270+K270</f>
        <v>42476</v>
      </c>
    </row>
    <row r="271" customFormat="false" ht="18.75" hidden="false" customHeight="true" outlineLevel="0" collapsed="false">
      <c r="A271" s="17" t="n">
        <v>267</v>
      </c>
      <c r="B271" s="18" t="s">
        <v>272</v>
      </c>
      <c r="C271" s="23" t="s">
        <v>271</v>
      </c>
      <c r="D271" s="9" t="s">
        <v>38</v>
      </c>
      <c r="E271" s="9" t="s">
        <v>478</v>
      </c>
      <c r="F271" s="18" t="s">
        <v>39</v>
      </c>
      <c r="G271" s="19" t="n">
        <v>10</v>
      </c>
      <c r="H271" s="18" t="s">
        <v>67</v>
      </c>
      <c r="I271" s="19" t="n">
        <v>2350</v>
      </c>
      <c r="J271" s="19" t="n">
        <v>0</v>
      </c>
      <c r="K271" s="19" t="n">
        <v>0</v>
      </c>
      <c r="L271" s="19" t="n">
        <f aca="false">G271*I271-J271+K271</f>
        <v>23500</v>
      </c>
    </row>
    <row r="272" customFormat="false" ht="18.75" hidden="false" customHeight="true" outlineLevel="0" collapsed="false">
      <c r="A272" s="20" t="n">
        <v>268</v>
      </c>
      <c r="B272" s="21" t="s">
        <v>272</v>
      </c>
      <c r="C272" s="24" t="s">
        <v>271</v>
      </c>
      <c r="D272" s="13" t="s">
        <v>38</v>
      </c>
      <c r="E272" s="13" t="s">
        <v>492</v>
      </c>
      <c r="F272" s="21" t="s">
        <v>39</v>
      </c>
      <c r="G272" s="22" t="n">
        <v>2</v>
      </c>
      <c r="H272" s="21" t="s">
        <v>67</v>
      </c>
      <c r="I272" s="22" t="n">
        <v>1500</v>
      </c>
      <c r="J272" s="22" t="n">
        <v>0</v>
      </c>
      <c r="K272" s="22" t="n">
        <v>0</v>
      </c>
      <c r="L272" s="22" t="n">
        <f aca="false">G272*I272-J272+K272</f>
        <v>3000</v>
      </c>
    </row>
    <row r="273" customFormat="false" ht="18.75" hidden="false" customHeight="true" outlineLevel="0" collapsed="false">
      <c r="A273" s="17" t="n">
        <v>269</v>
      </c>
      <c r="B273" s="18" t="s">
        <v>272</v>
      </c>
      <c r="C273" s="23" t="s">
        <v>271</v>
      </c>
      <c r="D273" s="9" t="s">
        <v>38</v>
      </c>
      <c r="E273" s="9" t="s">
        <v>469</v>
      </c>
      <c r="F273" s="18" t="s">
        <v>39</v>
      </c>
      <c r="G273" s="19" t="n">
        <v>2</v>
      </c>
      <c r="H273" s="18"/>
      <c r="I273" s="19" t="n">
        <v>2350</v>
      </c>
      <c r="J273" s="19" t="n">
        <v>0</v>
      </c>
      <c r="K273" s="19" t="n">
        <v>0</v>
      </c>
      <c r="L273" s="19" t="n">
        <f aca="false">G273*I273-J273+K273</f>
        <v>4700</v>
      </c>
    </row>
    <row r="274" customFormat="false" ht="18.75" hidden="false" customHeight="true" outlineLevel="0" collapsed="false">
      <c r="A274" s="20" t="n">
        <v>270</v>
      </c>
      <c r="B274" s="21" t="s">
        <v>272</v>
      </c>
      <c r="C274" s="24" t="s">
        <v>271</v>
      </c>
      <c r="D274" s="13" t="s">
        <v>38</v>
      </c>
      <c r="E274" s="13" t="s">
        <v>507</v>
      </c>
      <c r="F274" s="21" t="s">
        <v>39</v>
      </c>
      <c r="G274" s="22" t="n">
        <v>2</v>
      </c>
      <c r="H274" s="21" t="s">
        <v>67</v>
      </c>
      <c r="I274" s="22" t="n">
        <v>2700</v>
      </c>
      <c r="J274" s="22" t="n">
        <v>0</v>
      </c>
      <c r="K274" s="22" t="n">
        <v>0</v>
      </c>
      <c r="L274" s="22" t="n">
        <f aca="false">G274*I274-J274+K274</f>
        <v>5400</v>
      </c>
    </row>
    <row r="275" customFormat="false" ht="18.75" hidden="false" customHeight="true" outlineLevel="0" collapsed="false">
      <c r="A275" s="17" t="n">
        <v>271</v>
      </c>
      <c r="B275" s="18" t="s">
        <v>272</v>
      </c>
      <c r="C275" s="23" t="s">
        <v>271</v>
      </c>
      <c r="D275" s="9" t="s">
        <v>38</v>
      </c>
      <c r="E275" s="9" t="s">
        <v>468</v>
      </c>
      <c r="F275" s="18" t="s">
        <v>39</v>
      </c>
      <c r="G275" s="19" t="n">
        <v>3</v>
      </c>
      <c r="H275" s="18" t="s">
        <v>67</v>
      </c>
      <c r="I275" s="19" t="n">
        <v>1600</v>
      </c>
      <c r="J275" s="19" t="n">
        <v>0</v>
      </c>
      <c r="K275" s="19" t="n">
        <v>0</v>
      </c>
      <c r="L275" s="19" t="n">
        <f aca="false">G275*I275-J275+K275</f>
        <v>4800</v>
      </c>
    </row>
    <row r="276" customFormat="false" ht="18.75" hidden="false" customHeight="true" outlineLevel="0" collapsed="false">
      <c r="A276" s="20" t="n">
        <v>272</v>
      </c>
      <c r="B276" s="21" t="s">
        <v>272</v>
      </c>
      <c r="C276" s="24" t="s">
        <v>271</v>
      </c>
      <c r="D276" s="13" t="s">
        <v>38</v>
      </c>
      <c r="E276" s="13" t="s">
        <v>490</v>
      </c>
      <c r="F276" s="21" t="s">
        <v>39</v>
      </c>
      <c r="G276" s="22" t="n">
        <v>2200</v>
      </c>
      <c r="H276" s="21" t="s">
        <v>67</v>
      </c>
      <c r="I276" s="22" t="n">
        <v>1</v>
      </c>
      <c r="J276" s="22" t="n">
        <v>0</v>
      </c>
      <c r="K276" s="22" t="n">
        <v>0</v>
      </c>
      <c r="L276" s="22" t="n">
        <f aca="false">G276*I276-J276+K276</f>
        <v>2200</v>
      </c>
    </row>
    <row r="277" customFormat="false" ht="18.75" hidden="false" customHeight="true" outlineLevel="0" collapsed="false">
      <c r="A277" s="17" t="n">
        <v>273</v>
      </c>
      <c r="B277" s="18" t="s">
        <v>273</v>
      </c>
      <c r="C277" s="23" t="s">
        <v>274</v>
      </c>
      <c r="D277" s="9" t="s">
        <v>42</v>
      </c>
      <c r="E277" s="9" t="s">
        <v>469</v>
      </c>
      <c r="F277" s="18" t="s">
        <v>39</v>
      </c>
      <c r="G277" s="19" t="n">
        <v>2</v>
      </c>
      <c r="H277" s="18"/>
      <c r="I277" s="19" t="n">
        <v>2310</v>
      </c>
      <c r="J277" s="19" t="n">
        <v>0</v>
      </c>
      <c r="K277" s="19" t="n">
        <v>0</v>
      </c>
      <c r="L277" s="19" t="n">
        <f aca="false">G277*I277-J277+K277</f>
        <v>4620</v>
      </c>
    </row>
    <row r="278" customFormat="false" ht="18.75" hidden="false" customHeight="true" outlineLevel="0" collapsed="false">
      <c r="A278" s="20" t="n">
        <v>274</v>
      </c>
      <c r="B278" s="21" t="s">
        <v>273</v>
      </c>
      <c r="C278" s="24" t="s">
        <v>274</v>
      </c>
      <c r="D278" s="13" t="s">
        <v>42</v>
      </c>
      <c r="E278" s="13" t="s">
        <v>507</v>
      </c>
      <c r="F278" s="21" t="s">
        <v>39</v>
      </c>
      <c r="G278" s="22" t="n">
        <v>4</v>
      </c>
      <c r="H278" s="21" t="s">
        <v>67</v>
      </c>
      <c r="I278" s="22" t="n">
        <v>2640</v>
      </c>
      <c r="J278" s="22" t="n">
        <v>0</v>
      </c>
      <c r="K278" s="22" t="n">
        <v>0</v>
      </c>
      <c r="L278" s="22" t="n">
        <f aca="false">G278*I278-J278+K278</f>
        <v>10560</v>
      </c>
    </row>
    <row r="279" customFormat="false" ht="18.75" hidden="false" customHeight="true" outlineLevel="0" collapsed="false">
      <c r="A279" s="17" t="n">
        <v>275</v>
      </c>
      <c r="B279" s="18" t="s">
        <v>273</v>
      </c>
      <c r="C279" s="23" t="s">
        <v>274</v>
      </c>
      <c r="D279" s="9" t="s">
        <v>42</v>
      </c>
      <c r="E279" s="9" t="s">
        <v>499</v>
      </c>
      <c r="F279" s="18" t="s">
        <v>39</v>
      </c>
      <c r="G279" s="19" t="n">
        <v>1</v>
      </c>
      <c r="H279" s="18" t="s">
        <v>67</v>
      </c>
      <c r="I279" s="19" t="n">
        <v>3168</v>
      </c>
      <c r="J279" s="19" t="n">
        <v>0</v>
      </c>
      <c r="K279" s="19" t="n">
        <v>0</v>
      </c>
      <c r="L279" s="19" t="n">
        <f aca="false">G279*I279-J279+K279</f>
        <v>3168</v>
      </c>
    </row>
    <row r="280" customFormat="false" ht="18.75" hidden="false" customHeight="true" outlineLevel="0" collapsed="false">
      <c r="A280" s="20" t="n">
        <v>276</v>
      </c>
      <c r="B280" s="21" t="s">
        <v>275</v>
      </c>
      <c r="C280" s="24" t="s">
        <v>274</v>
      </c>
      <c r="D280" s="13" t="s">
        <v>38</v>
      </c>
      <c r="E280" s="13" t="s">
        <v>492</v>
      </c>
      <c r="F280" s="21" t="s">
        <v>39</v>
      </c>
      <c r="G280" s="22" t="n">
        <v>3</v>
      </c>
      <c r="H280" s="21" t="s">
        <v>67</v>
      </c>
      <c r="I280" s="22" t="n">
        <v>1500</v>
      </c>
      <c r="J280" s="22" t="n">
        <v>0</v>
      </c>
      <c r="K280" s="22" t="n">
        <v>0</v>
      </c>
      <c r="L280" s="22" t="n">
        <f aca="false">G280*I280-J280+K280</f>
        <v>4500</v>
      </c>
    </row>
    <row r="281" customFormat="false" ht="18.75" hidden="false" customHeight="true" outlineLevel="0" collapsed="false">
      <c r="A281" s="17" t="n">
        <v>277</v>
      </c>
      <c r="B281" s="18" t="s">
        <v>275</v>
      </c>
      <c r="C281" s="23" t="s">
        <v>274</v>
      </c>
      <c r="D281" s="9" t="s">
        <v>38</v>
      </c>
      <c r="E281" s="9" t="s">
        <v>469</v>
      </c>
      <c r="F281" s="18" t="s">
        <v>39</v>
      </c>
      <c r="G281" s="19" t="n">
        <v>1</v>
      </c>
      <c r="H281" s="18"/>
      <c r="I281" s="19" t="n">
        <v>2350</v>
      </c>
      <c r="J281" s="19" t="n">
        <v>0</v>
      </c>
      <c r="K281" s="19" t="n">
        <v>0</v>
      </c>
      <c r="L281" s="19" t="n">
        <f aca="false">G281*I281-J281+K281</f>
        <v>2350</v>
      </c>
    </row>
    <row r="282" customFormat="false" ht="18.75" hidden="false" customHeight="true" outlineLevel="0" collapsed="false">
      <c r="A282" s="20" t="n">
        <v>278</v>
      </c>
      <c r="B282" s="21" t="s">
        <v>275</v>
      </c>
      <c r="C282" s="24" t="s">
        <v>274</v>
      </c>
      <c r="D282" s="13" t="s">
        <v>38</v>
      </c>
      <c r="E282" s="13" t="s">
        <v>461</v>
      </c>
      <c r="F282" s="21" t="s">
        <v>39</v>
      </c>
      <c r="G282" s="22" t="n">
        <v>10</v>
      </c>
      <c r="H282" s="21" t="s">
        <v>67</v>
      </c>
      <c r="I282" s="22" t="n">
        <v>800</v>
      </c>
      <c r="J282" s="22" t="n">
        <v>0</v>
      </c>
      <c r="K282" s="22" t="n">
        <v>0</v>
      </c>
      <c r="L282" s="22" t="n">
        <f aca="false">G282*I282-J282+K282</f>
        <v>8000</v>
      </c>
    </row>
    <row r="283" customFormat="false" ht="18.75" hidden="false" customHeight="true" outlineLevel="0" collapsed="false">
      <c r="A283" s="17" t="n">
        <v>279</v>
      </c>
      <c r="B283" s="18" t="s">
        <v>275</v>
      </c>
      <c r="C283" s="23" t="s">
        <v>274</v>
      </c>
      <c r="D283" s="9" t="s">
        <v>38</v>
      </c>
      <c r="E283" s="9" t="s">
        <v>508</v>
      </c>
      <c r="F283" s="18" t="s">
        <v>39</v>
      </c>
      <c r="G283" s="19" t="n">
        <v>12</v>
      </c>
      <c r="H283" s="18" t="s">
        <v>67</v>
      </c>
      <c r="I283" s="19" t="n">
        <v>600</v>
      </c>
      <c r="J283" s="19" t="n">
        <v>0</v>
      </c>
      <c r="K283" s="19" t="n">
        <v>0</v>
      </c>
      <c r="L283" s="19" t="n">
        <f aca="false">G283*I283-J283+K283</f>
        <v>7200</v>
      </c>
    </row>
    <row r="284" customFormat="false" ht="18.75" hidden="false" customHeight="true" outlineLevel="0" collapsed="false">
      <c r="A284" s="20" t="n">
        <v>280</v>
      </c>
      <c r="B284" s="21" t="s">
        <v>275</v>
      </c>
      <c r="C284" s="24" t="s">
        <v>274</v>
      </c>
      <c r="D284" s="13" t="s">
        <v>38</v>
      </c>
      <c r="E284" s="13" t="s">
        <v>507</v>
      </c>
      <c r="F284" s="21" t="s">
        <v>39</v>
      </c>
      <c r="G284" s="22" t="n">
        <v>4</v>
      </c>
      <c r="H284" s="21" t="s">
        <v>67</v>
      </c>
      <c r="I284" s="22" t="n">
        <v>2700</v>
      </c>
      <c r="J284" s="22" t="n">
        <v>0</v>
      </c>
      <c r="K284" s="22" t="n">
        <v>0</v>
      </c>
      <c r="L284" s="22" t="n">
        <f aca="false">G284*I284-J284+K284</f>
        <v>10800</v>
      </c>
    </row>
    <row r="285" customFormat="false" ht="18.75" hidden="false" customHeight="true" outlineLevel="0" collapsed="false">
      <c r="A285" s="17" t="n">
        <v>281</v>
      </c>
      <c r="B285" s="18" t="s">
        <v>276</v>
      </c>
      <c r="C285" s="23" t="s">
        <v>277</v>
      </c>
      <c r="D285" s="9" t="s">
        <v>46</v>
      </c>
      <c r="E285" s="9" t="s">
        <v>72</v>
      </c>
      <c r="F285" s="18" t="s">
        <v>39</v>
      </c>
      <c r="G285" s="19" t="n">
        <v>699</v>
      </c>
      <c r="H285" s="18" t="s">
        <v>73</v>
      </c>
      <c r="I285" s="19" t="n">
        <v>20.5</v>
      </c>
      <c r="J285" s="19" t="n">
        <v>0</v>
      </c>
      <c r="K285" s="19" t="n">
        <v>0</v>
      </c>
      <c r="L285" s="19" t="n">
        <f aca="false">G285*I285-J285+K285</f>
        <v>14329.5</v>
      </c>
    </row>
    <row r="286" customFormat="false" ht="18.75" hidden="false" customHeight="true" outlineLevel="0" collapsed="false">
      <c r="A286" s="20" t="n">
        <v>282</v>
      </c>
      <c r="B286" s="21" t="s">
        <v>278</v>
      </c>
      <c r="C286" s="24" t="s">
        <v>277</v>
      </c>
      <c r="D286" s="13" t="s">
        <v>38</v>
      </c>
      <c r="E286" s="13" t="s">
        <v>66</v>
      </c>
      <c r="F286" s="21" t="s">
        <v>39</v>
      </c>
      <c r="G286" s="22" t="n">
        <v>958</v>
      </c>
      <c r="H286" s="21" t="s">
        <v>67</v>
      </c>
      <c r="I286" s="22" t="n">
        <v>250</v>
      </c>
      <c r="J286" s="22" t="n">
        <v>0</v>
      </c>
      <c r="K286" s="22" t="n">
        <v>0</v>
      </c>
      <c r="L286" s="22" t="n">
        <f aca="false">G286*I286-J286+K286</f>
        <v>239500</v>
      </c>
    </row>
    <row r="287" customFormat="false" ht="18.75" hidden="false" customHeight="true" outlineLevel="0" collapsed="false">
      <c r="A287" s="17" t="n">
        <v>283</v>
      </c>
      <c r="B287" s="18" t="s">
        <v>278</v>
      </c>
      <c r="C287" s="23" t="s">
        <v>277</v>
      </c>
      <c r="D287" s="9" t="s">
        <v>38</v>
      </c>
      <c r="E287" s="9" t="s">
        <v>64</v>
      </c>
      <c r="F287" s="18" t="s">
        <v>39</v>
      </c>
      <c r="G287" s="19" t="n">
        <v>3404</v>
      </c>
      <c r="H287" s="18" t="s">
        <v>65</v>
      </c>
      <c r="I287" s="19" t="n">
        <v>16</v>
      </c>
      <c r="J287" s="19" t="n">
        <v>0</v>
      </c>
      <c r="K287" s="19" t="n">
        <v>0</v>
      </c>
      <c r="L287" s="19" t="n">
        <f aca="false">G287*I287-J287+K287</f>
        <v>54464</v>
      </c>
    </row>
    <row r="288" customFormat="false" ht="18.75" hidden="false" customHeight="true" outlineLevel="0" collapsed="false">
      <c r="A288" s="20" t="n">
        <v>284</v>
      </c>
      <c r="B288" s="21" t="s">
        <v>278</v>
      </c>
      <c r="C288" s="24" t="s">
        <v>277</v>
      </c>
      <c r="D288" s="13" t="s">
        <v>38</v>
      </c>
      <c r="E288" s="13" t="s">
        <v>462</v>
      </c>
      <c r="F288" s="21" t="s">
        <v>39</v>
      </c>
      <c r="G288" s="22" t="n">
        <v>10</v>
      </c>
      <c r="H288" s="21" t="s">
        <v>67</v>
      </c>
      <c r="I288" s="22" t="n">
        <v>650</v>
      </c>
      <c r="J288" s="22" t="n">
        <v>0</v>
      </c>
      <c r="K288" s="22" t="n">
        <v>0</v>
      </c>
      <c r="L288" s="22" t="n">
        <f aca="false">G288*I288-J288+K288</f>
        <v>6500</v>
      </c>
    </row>
    <row r="289" customFormat="false" ht="18.75" hidden="false" customHeight="true" outlineLevel="0" collapsed="false">
      <c r="A289" s="17" t="n">
        <v>285</v>
      </c>
      <c r="B289" s="18" t="s">
        <v>278</v>
      </c>
      <c r="C289" s="23" t="s">
        <v>277</v>
      </c>
      <c r="D289" s="9" t="s">
        <v>38</v>
      </c>
      <c r="E289" s="9" t="s">
        <v>463</v>
      </c>
      <c r="F289" s="18" t="s">
        <v>39</v>
      </c>
      <c r="G289" s="19" t="n">
        <v>20</v>
      </c>
      <c r="H289" s="18" t="s">
        <v>67</v>
      </c>
      <c r="I289" s="19" t="n">
        <v>225</v>
      </c>
      <c r="J289" s="19" t="n">
        <v>0</v>
      </c>
      <c r="K289" s="19" t="n">
        <v>0</v>
      </c>
      <c r="L289" s="19" t="n">
        <f aca="false">G289*I289-J289+K289</f>
        <v>4500</v>
      </c>
    </row>
    <row r="290" customFormat="false" ht="18.75" hidden="false" customHeight="true" outlineLevel="0" collapsed="false">
      <c r="A290" s="20" t="n">
        <v>286</v>
      </c>
      <c r="B290" s="21" t="s">
        <v>278</v>
      </c>
      <c r="C290" s="24" t="s">
        <v>277</v>
      </c>
      <c r="D290" s="13" t="s">
        <v>38</v>
      </c>
      <c r="E290" s="13" t="s">
        <v>469</v>
      </c>
      <c r="F290" s="21" t="s">
        <v>39</v>
      </c>
      <c r="G290" s="22" t="n">
        <v>2</v>
      </c>
      <c r="H290" s="21"/>
      <c r="I290" s="22" t="n">
        <v>2350</v>
      </c>
      <c r="J290" s="22" t="n">
        <v>0</v>
      </c>
      <c r="K290" s="22" t="n">
        <v>0</v>
      </c>
      <c r="L290" s="22" t="n">
        <f aca="false">G290*I290-J290+K290</f>
        <v>4700</v>
      </c>
    </row>
    <row r="291" customFormat="false" ht="18.75" hidden="false" customHeight="true" outlineLevel="0" collapsed="false">
      <c r="A291" s="17" t="n">
        <v>287</v>
      </c>
      <c r="B291" s="18" t="s">
        <v>278</v>
      </c>
      <c r="C291" s="23" t="s">
        <v>277</v>
      </c>
      <c r="D291" s="9" t="s">
        <v>38</v>
      </c>
      <c r="E291" s="9" t="s">
        <v>468</v>
      </c>
      <c r="F291" s="18" t="s">
        <v>39</v>
      </c>
      <c r="G291" s="19" t="n">
        <v>4</v>
      </c>
      <c r="H291" s="18" t="s">
        <v>67</v>
      </c>
      <c r="I291" s="19" t="n">
        <v>1600</v>
      </c>
      <c r="J291" s="19" t="n">
        <v>0</v>
      </c>
      <c r="K291" s="19" t="n">
        <v>0</v>
      </c>
      <c r="L291" s="19" t="n">
        <f aca="false">G291*I291-J291+K291</f>
        <v>6400</v>
      </c>
    </row>
    <row r="292" customFormat="false" ht="18.75" hidden="false" customHeight="true" outlineLevel="0" collapsed="false">
      <c r="A292" s="20" t="n">
        <v>288</v>
      </c>
      <c r="B292" s="21" t="s">
        <v>279</v>
      </c>
      <c r="C292" s="24" t="s">
        <v>280</v>
      </c>
      <c r="D292" s="13" t="s">
        <v>281</v>
      </c>
      <c r="E292" s="13" t="s">
        <v>509</v>
      </c>
      <c r="F292" s="21" t="s">
        <v>39</v>
      </c>
      <c r="G292" s="22" t="n">
        <v>10</v>
      </c>
      <c r="H292" s="21" t="s">
        <v>67</v>
      </c>
      <c r="I292" s="22" t="n">
        <v>4500</v>
      </c>
      <c r="J292" s="22" t="n">
        <v>0</v>
      </c>
      <c r="K292" s="22" t="n">
        <v>8100</v>
      </c>
      <c r="L292" s="22" t="n">
        <f aca="false">G292*I292-J292+K292</f>
        <v>53100</v>
      </c>
    </row>
    <row r="293" customFormat="false" ht="18.75" hidden="false" customHeight="true" outlineLevel="0" collapsed="false">
      <c r="A293" s="17" t="n">
        <v>289</v>
      </c>
      <c r="B293" s="18" t="s">
        <v>279</v>
      </c>
      <c r="C293" s="23" t="s">
        <v>280</v>
      </c>
      <c r="D293" s="9" t="s">
        <v>281</v>
      </c>
      <c r="E293" s="9" t="s">
        <v>510</v>
      </c>
      <c r="F293" s="18" t="s">
        <v>39</v>
      </c>
      <c r="G293" s="19" t="n">
        <v>7</v>
      </c>
      <c r="H293" s="18" t="s">
        <v>67</v>
      </c>
      <c r="I293" s="19" t="n">
        <v>3500</v>
      </c>
      <c r="J293" s="19" t="n">
        <v>0</v>
      </c>
      <c r="K293" s="19" t="n">
        <v>4410</v>
      </c>
      <c r="L293" s="19" t="n">
        <f aca="false">G293*I293-J293+K293</f>
        <v>28910</v>
      </c>
    </row>
    <row r="294" customFormat="false" ht="18.75" hidden="false" customHeight="true" outlineLevel="0" collapsed="false">
      <c r="A294" s="20" t="n">
        <v>290</v>
      </c>
      <c r="B294" s="21" t="s">
        <v>282</v>
      </c>
      <c r="C294" s="24" t="s">
        <v>283</v>
      </c>
      <c r="D294" s="13" t="s">
        <v>40</v>
      </c>
      <c r="E294" s="13" t="s">
        <v>64</v>
      </c>
      <c r="F294" s="21" t="s">
        <v>39</v>
      </c>
      <c r="G294" s="22" t="n">
        <v>3653.25</v>
      </c>
      <c r="H294" s="21" t="s">
        <v>65</v>
      </c>
      <c r="I294" s="22" t="n">
        <v>16</v>
      </c>
      <c r="J294" s="22" t="n">
        <v>0</v>
      </c>
      <c r="K294" s="22" t="n">
        <v>0</v>
      </c>
      <c r="L294" s="22" t="n">
        <f aca="false">G294*I294-J294+K294</f>
        <v>58452</v>
      </c>
    </row>
    <row r="295" customFormat="false" ht="18.75" hidden="false" customHeight="true" outlineLevel="0" collapsed="false">
      <c r="A295" s="17" t="n">
        <v>291</v>
      </c>
      <c r="B295" s="18" t="s">
        <v>282</v>
      </c>
      <c r="C295" s="23" t="s">
        <v>283</v>
      </c>
      <c r="D295" s="9" t="s">
        <v>40</v>
      </c>
      <c r="E295" s="9" t="s">
        <v>501</v>
      </c>
      <c r="F295" s="18" t="s">
        <v>39</v>
      </c>
      <c r="G295" s="19" t="n">
        <v>1300</v>
      </c>
      <c r="H295" s="18" t="s">
        <v>65</v>
      </c>
      <c r="I295" s="19" t="n">
        <v>15</v>
      </c>
      <c r="J295" s="19" t="n">
        <v>0</v>
      </c>
      <c r="K295" s="19" t="n">
        <v>0</v>
      </c>
      <c r="L295" s="19" t="n">
        <f aca="false">G295*I295-J295+K295</f>
        <v>19500</v>
      </c>
    </row>
    <row r="296" customFormat="false" ht="18.75" hidden="false" customHeight="true" outlineLevel="0" collapsed="false">
      <c r="A296" s="20" t="n">
        <v>292</v>
      </c>
      <c r="B296" s="21" t="s">
        <v>282</v>
      </c>
      <c r="C296" s="24" t="s">
        <v>283</v>
      </c>
      <c r="D296" s="13" t="s">
        <v>40</v>
      </c>
      <c r="E296" s="13" t="s">
        <v>456</v>
      </c>
      <c r="F296" s="21" t="s">
        <v>39</v>
      </c>
      <c r="G296" s="22" t="n">
        <v>147.5</v>
      </c>
      <c r="H296" s="21" t="s">
        <v>65</v>
      </c>
      <c r="I296" s="22" t="n">
        <v>55</v>
      </c>
      <c r="J296" s="22" t="n">
        <v>0</v>
      </c>
      <c r="K296" s="22" t="n">
        <v>0</v>
      </c>
      <c r="L296" s="22" t="n">
        <f aca="false">G296*I296-J296+K296</f>
        <v>8112.5</v>
      </c>
    </row>
    <row r="297" customFormat="false" ht="18.75" hidden="false" customHeight="true" outlineLevel="0" collapsed="false">
      <c r="A297" s="17" t="n">
        <v>293</v>
      </c>
      <c r="B297" s="18" t="s">
        <v>284</v>
      </c>
      <c r="C297" s="23" t="s">
        <v>285</v>
      </c>
      <c r="D297" s="9" t="s">
        <v>38</v>
      </c>
      <c r="E297" s="9" t="s">
        <v>71</v>
      </c>
      <c r="F297" s="18" t="s">
        <v>39</v>
      </c>
      <c r="G297" s="19" t="n">
        <v>40</v>
      </c>
      <c r="H297" s="18" t="s">
        <v>67</v>
      </c>
      <c r="I297" s="19" t="n">
        <v>1620</v>
      </c>
      <c r="J297" s="19" t="n">
        <v>0</v>
      </c>
      <c r="K297" s="19" t="n">
        <v>0</v>
      </c>
      <c r="L297" s="19" t="n">
        <f aca="false">G297*I297-J297+K297</f>
        <v>64800</v>
      </c>
    </row>
    <row r="298" customFormat="false" ht="18.75" hidden="false" customHeight="true" outlineLevel="0" collapsed="false">
      <c r="A298" s="20" t="n">
        <v>294</v>
      </c>
      <c r="B298" s="21" t="s">
        <v>286</v>
      </c>
      <c r="C298" s="24" t="s">
        <v>287</v>
      </c>
      <c r="D298" s="13" t="s">
        <v>40</v>
      </c>
      <c r="E298" s="13" t="s">
        <v>64</v>
      </c>
      <c r="F298" s="21" t="s">
        <v>39</v>
      </c>
      <c r="G298" s="22" t="n">
        <v>5177.5</v>
      </c>
      <c r="H298" s="21" t="s">
        <v>65</v>
      </c>
      <c r="I298" s="22" t="n">
        <v>15.75</v>
      </c>
      <c r="J298" s="22" t="n">
        <v>0</v>
      </c>
      <c r="K298" s="22" t="n">
        <v>0</v>
      </c>
      <c r="L298" s="22" t="n">
        <f aca="false">G298*I298-J298+K298</f>
        <v>81545.625</v>
      </c>
    </row>
    <row r="299" customFormat="false" ht="18.75" hidden="false" customHeight="true" outlineLevel="0" collapsed="false">
      <c r="A299" s="17" t="n">
        <v>295</v>
      </c>
      <c r="B299" s="18" t="s">
        <v>288</v>
      </c>
      <c r="C299" s="23" t="s">
        <v>289</v>
      </c>
      <c r="D299" s="9" t="s">
        <v>56</v>
      </c>
      <c r="E299" s="9" t="s">
        <v>76</v>
      </c>
      <c r="F299" s="18" t="s">
        <v>39</v>
      </c>
      <c r="G299" s="19" t="n">
        <v>200</v>
      </c>
      <c r="H299" s="18" t="s">
        <v>67</v>
      </c>
      <c r="I299" s="19" t="n">
        <v>100</v>
      </c>
      <c r="J299" s="19" t="n">
        <v>0</v>
      </c>
      <c r="K299" s="19" t="n">
        <v>1000</v>
      </c>
      <c r="L299" s="19" t="n">
        <f aca="false">G299*I299-J299+K299</f>
        <v>21000</v>
      </c>
    </row>
    <row r="300" customFormat="false" ht="18.75" hidden="false" customHeight="true" outlineLevel="0" collapsed="false">
      <c r="A300" s="20" t="n">
        <v>296</v>
      </c>
      <c r="B300" s="21" t="s">
        <v>290</v>
      </c>
      <c r="C300" s="24" t="s">
        <v>291</v>
      </c>
      <c r="D300" s="13" t="s">
        <v>42</v>
      </c>
      <c r="E300" s="13" t="s">
        <v>64</v>
      </c>
      <c r="F300" s="21" t="s">
        <v>39</v>
      </c>
      <c r="G300" s="22" t="n">
        <v>2654.25</v>
      </c>
      <c r="H300" s="21" t="s">
        <v>65</v>
      </c>
      <c r="I300" s="22" t="n">
        <v>16</v>
      </c>
      <c r="J300" s="22" t="n">
        <v>0</v>
      </c>
      <c r="K300" s="22" t="n">
        <v>0</v>
      </c>
      <c r="L300" s="22" t="n">
        <f aca="false">G300*I300-J300+K300</f>
        <v>42468</v>
      </c>
    </row>
    <row r="301" customFormat="false" ht="18.75" hidden="false" customHeight="true" outlineLevel="0" collapsed="false">
      <c r="A301" s="17" t="n">
        <v>297</v>
      </c>
      <c r="B301" s="18" t="s">
        <v>290</v>
      </c>
      <c r="C301" s="23" t="s">
        <v>291</v>
      </c>
      <c r="D301" s="9" t="s">
        <v>42</v>
      </c>
      <c r="E301" s="9" t="s">
        <v>456</v>
      </c>
      <c r="F301" s="18" t="s">
        <v>39</v>
      </c>
      <c r="G301" s="19" t="n">
        <v>69.6</v>
      </c>
      <c r="H301" s="18" t="s">
        <v>65</v>
      </c>
      <c r="I301" s="19" t="n">
        <v>55</v>
      </c>
      <c r="J301" s="19" t="n">
        <v>0</v>
      </c>
      <c r="K301" s="19" t="n">
        <v>0</v>
      </c>
      <c r="L301" s="19" t="n">
        <f aca="false">G301*I301-J301+K301</f>
        <v>3828</v>
      </c>
    </row>
    <row r="302" customFormat="false" ht="18.75" hidden="false" customHeight="true" outlineLevel="0" collapsed="false">
      <c r="A302" s="20" t="n">
        <v>298</v>
      </c>
      <c r="B302" s="21" t="s">
        <v>290</v>
      </c>
      <c r="C302" s="24" t="s">
        <v>291</v>
      </c>
      <c r="D302" s="13" t="s">
        <v>42</v>
      </c>
      <c r="E302" s="13" t="s">
        <v>76</v>
      </c>
      <c r="F302" s="21" t="s">
        <v>39</v>
      </c>
      <c r="G302" s="22" t="n">
        <v>60</v>
      </c>
      <c r="H302" s="21" t="s">
        <v>67</v>
      </c>
      <c r="I302" s="22" t="n">
        <v>185</v>
      </c>
      <c r="J302" s="22" t="n">
        <v>0</v>
      </c>
      <c r="K302" s="22" t="n">
        <v>0</v>
      </c>
      <c r="L302" s="22" t="n">
        <f aca="false">G302*I302-J302+K302</f>
        <v>11100</v>
      </c>
    </row>
    <row r="303" customFormat="false" ht="18.75" hidden="false" customHeight="true" outlineLevel="0" collapsed="false">
      <c r="A303" s="17" t="n">
        <v>299</v>
      </c>
      <c r="B303" s="18" t="s">
        <v>292</v>
      </c>
      <c r="C303" s="23" t="s">
        <v>293</v>
      </c>
      <c r="D303" s="9" t="s">
        <v>46</v>
      </c>
      <c r="E303" s="9" t="s">
        <v>64</v>
      </c>
      <c r="F303" s="18" t="s">
        <v>39</v>
      </c>
      <c r="G303" s="19" t="n">
        <v>5040.5</v>
      </c>
      <c r="H303" s="18" t="s">
        <v>65</v>
      </c>
      <c r="I303" s="19" t="n">
        <v>16</v>
      </c>
      <c r="J303" s="19" t="n">
        <v>0</v>
      </c>
      <c r="K303" s="19" t="n">
        <v>0</v>
      </c>
      <c r="L303" s="19" t="n">
        <f aca="false">G303*I303-J303+K303</f>
        <v>80648</v>
      </c>
    </row>
    <row r="304" customFormat="false" ht="18.75" hidden="false" customHeight="true" outlineLevel="0" collapsed="false">
      <c r="A304" s="20" t="n">
        <v>300</v>
      </c>
      <c r="B304" s="21" t="s">
        <v>294</v>
      </c>
      <c r="C304" s="24" t="s">
        <v>293</v>
      </c>
      <c r="D304" s="13" t="s">
        <v>40</v>
      </c>
      <c r="E304" s="13" t="s">
        <v>64</v>
      </c>
      <c r="F304" s="21" t="s">
        <v>39</v>
      </c>
      <c r="G304" s="22" t="n">
        <v>5054.75</v>
      </c>
      <c r="H304" s="21" t="s">
        <v>65</v>
      </c>
      <c r="I304" s="22" t="n">
        <v>15.75</v>
      </c>
      <c r="J304" s="22" t="n">
        <v>0</v>
      </c>
      <c r="K304" s="22" t="n">
        <v>0</v>
      </c>
      <c r="L304" s="22" t="n">
        <f aca="false">G304*I304-J304+K304</f>
        <v>79612.3125</v>
      </c>
    </row>
    <row r="305" customFormat="false" ht="18.75" hidden="false" customHeight="true" outlineLevel="0" collapsed="false">
      <c r="A305" s="17" t="n">
        <v>301</v>
      </c>
      <c r="B305" s="18" t="s">
        <v>295</v>
      </c>
      <c r="C305" s="23" t="s">
        <v>296</v>
      </c>
      <c r="D305" s="9" t="s">
        <v>38</v>
      </c>
      <c r="E305" s="9" t="s">
        <v>508</v>
      </c>
      <c r="F305" s="18" t="s">
        <v>39</v>
      </c>
      <c r="G305" s="19" t="n">
        <v>30</v>
      </c>
      <c r="H305" s="18" t="s">
        <v>67</v>
      </c>
      <c r="I305" s="19" t="n">
        <v>575</v>
      </c>
      <c r="J305" s="19" t="n">
        <v>0</v>
      </c>
      <c r="K305" s="19" t="n">
        <v>0</v>
      </c>
      <c r="L305" s="19" t="n">
        <f aca="false">G305*I305-J305+K305</f>
        <v>17250</v>
      </c>
    </row>
    <row r="306" customFormat="false" ht="18.75" hidden="false" customHeight="true" outlineLevel="0" collapsed="false">
      <c r="A306" s="20" t="n">
        <v>302</v>
      </c>
      <c r="B306" s="21" t="s">
        <v>295</v>
      </c>
      <c r="C306" s="24" t="s">
        <v>296</v>
      </c>
      <c r="D306" s="13" t="s">
        <v>38</v>
      </c>
      <c r="E306" s="13" t="s">
        <v>461</v>
      </c>
      <c r="F306" s="21" t="s">
        <v>39</v>
      </c>
      <c r="G306" s="22" t="n">
        <v>20</v>
      </c>
      <c r="H306" s="21" t="s">
        <v>67</v>
      </c>
      <c r="I306" s="22" t="n">
        <v>800</v>
      </c>
      <c r="J306" s="22" t="n">
        <v>0</v>
      </c>
      <c r="K306" s="22" t="n">
        <v>0</v>
      </c>
      <c r="L306" s="22" t="n">
        <f aca="false">G306*I306-J306+K306</f>
        <v>16000</v>
      </c>
    </row>
    <row r="307" customFormat="false" ht="18.75" hidden="false" customHeight="true" outlineLevel="0" collapsed="false">
      <c r="A307" s="17" t="n">
        <v>303</v>
      </c>
      <c r="B307" s="18" t="s">
        <v>295</v>
      </c>
      <c r="C307" s="23" t="s">
        <v>296</v>
      </c>
      <c r="D307" s="9" t="s">
        <v>38</v>
      </c>
      <c r="E307" s="9" t="s">
        <v>462</v>
      </c>
      <c r="F307" s="18" t="s">
        <v>39</v>
      </c>
      <c r="G307" s="19" t="n">
        <v>10</v>
      </c>
      <c r="H307" s="18" t="s">
        <v>67</v>
      </c>
      <c r="I307" s="19" t="n">
        <v>650</v>
      </c>
      <c r="J307" s="19" t="n">
        <v>0</v>
      </c>
      <c r="K307" s="19" t="n">
        <v>0</v>
      </c>
      <c r="L307" s="19" t="n">
        <f aca="false">G307*I307-J307+K307</f>
        <v>6500</v>
      </c>
    </row>
    <row r="308" customFormat="false" ht="18.75" hidden="false" customHeight="true" outlineLevel="0" collapsed="false">
      <c r="A308" s="20" t="n">
        <v>304</v>
      </c>
      <c r="B308" s="21" t="s">
        <v>295</v>
      </c>
      <c r="C308" s="24" t="s">
        <v>296</v>
      </c>
      <c r="D308" s="13" t="s">
        <v>38</v>
      </c>
      <c r="E308" s="13" t="s">
        <v>473</v>
      </c>
      <c r="F308" s="21" t="s">
        <v>39</v>
      </c>
      <c r="G308" s="22" t="n">
        <v>10</v>
      </c>
      <c r="H308" s="21" t="s">
        <v>67</v>
      </c>
      <c r="I308" s="22" t="n">
        <v>210</v>
      </c>
      <c r="J308" s="22" t="n">
        <v>0</v>
      </c>
      <c r="K308" s="22" t="n">
        <v>0</v>
      </c>
      <c r="L308" s="22" t="n">
        <f aca="false">G308*I308-J308+K308</f>
        <v>2100</v>
      </c>
    </row>
    <row r="309" customFormat="false" ht="18.75" hidden="false" customHeight="true" outlineLevel="0" collapsed="false">
      <c r="A309" s="17" t="n">
        <v>305</v>
      </c>
      <c r="B309" s="18" t="s">
        <v>295</v>
      </c>
      <c r="C309" s="23" t="s">
        <v>296</v>
      </c>
      <c r="D309" s="9" t="s">
        <v>38</v>
      </c>
      <c r="E309" s="9" t="s">
        <v>511</v>
      </c>
      <c r="F309" s="18" t="s">
        <v>39</v>
      </c>
      <c r="G309" s="19" t="n">
        <v>180</v>
      </c>
      <c r="H309" s="18" t="s">
        <v>67</v>
      </c>
      <c r="I309" s="19" t="n">
        <v>8</v>
      </c>
      <c r="J309" s="19" t="n">
        <v>0</v>
      </c>
      <c r="K309" s="19" t="n">
        <v>0</v>
      </c>
      <c r="L309" s="19" t="n">
        <f aca="false">G309*I309-J309+K309</f>
        <v>1440</v>
      </c>
    </row>
    <row r="310" customFormat="false" ht="18.75" hidden="false" customHeight="true" outlineLevel="0" collapsed="false">
      <c r="A310" s="20" t="n">
        <v>306</v>
      </c>
      <c r="B310" s="21" t="s">
        <v>295</v>
      </c>
      <c r="C310" s="24" t="s">
        <v>296</v>
      </c>
      <c r="D310" s="13" t="s">
        <v>38</v>
      </c>
      <c r="E310" s="13" t="s">
        <v>463</v>
      </c>
      <c r="F310" s="21" t="s">
        <v>39</v>
      </c>
      <c r="G310" s="22" t="n">
        <v>20</v>
      </c>
      <c r="H310" s="21" t="s">
        <v>67</v>
      </c>
      <c r="I310" s="22" t="n">
        <v>225</v>
      </c>
      <c r="J310" s="22" t="n">
        <v>0</v>
      </c>
      <c r="K310" s="22" t="n">
        <v>0</v>
      </c>
      <c r="L310" s="22" t="n">
        <f aca="false">G310*I310-J310+K310</f>
        <v>4500</v>
      </c>
    </row>
    <row r="311" customFormat="false" ht="18.75" hidden="false" customHeight="true" outlineLevel="0" collapsed="false">
      <c r="A311" s="17" t="n">
        <v>307</v>
      </c>
      <c r="B311" s="18" t="s">
        <v>295</v>
      </c>
      <c r="C311" s="23" t="s">
        <v>296</v>
      </c>
      <c r="D311" s="9" t="s">
        <v>38</v>
      </c>
      <c r="E311" s="9" t="s">
        <v>512</v>
      </c>
      <c r="F311" s="18" t="s">
        <v>39</v>
      </c>
      <c r="G311" s="19" t="n">
        <v>20</v>
      </c>
      <c r="H311" s="18" t="s">
        <v>67</v>
      </c>
      <c r="I311" s="19" t="n">
        <v>150</v>
      </c>
      <c r="J311" s="19" t="n">
        <v>0</v>
      </c>
      <c r="K311" s="19" t="n">
        <v>0</v>
      </c>
      <c r="L311" s="19" t="n">
        <f aca="false">G311*I311-J311+K311</f>
        <v>3000</v>
      </c>
    </row>
    <row r="312" customFormat="false" ht="18.75" hidden="false" customHeight="true" outlineLevel="0" collapsed="false">
      <c r="A312" s="20" t="n">
        <v>308</v>
      </c>
      <c r="B312" s="21" t="s">
        <v>295</v>
      </c>
      <c r="C312" s="24" t="s">
        <v>296</v>
      </c>
      <c r="D312" s="13" t="s">
        <v>38</v>
      </c>
      <c r="E312" s="13" t="s">
        <v>459</v>
      </c>
      <c r="F312" s="21" t="s">
        <v>39</v>
      </c>
      <c r="G312" s="22" t="n">
        <v>280</v>
      </c>
      <c r="H312" s="21" t="s">
        <v>65</v>
      </c>
      <c r="I312" s="22" t="n">
        <v>16</v>
      </c>
      <c r="J312" s="22" t="n">
        <v>0</v>
      </c>
      <c r="K312" s="22" t="n">
        <v>0</v>
      </c>
      <c r="L312" s="22" t="n">
        <f aca="false">G312*I312-J312+K312</f>
        <v>4480</v>
      </c>
    </row>
    <row r="313" customFormat="false" ht="18.75" hidden="false" customHeight="true" outlineLevel="0" collapsed="false">
      <c r="A313" s="17" t="n">
        <v>309</v>
      </c>
      <c r="B313" s="18" t="s">
        <v>295</v>
      </c>
      <c r="C313" s="23" t="s">
        <v>296</v>
      </c>
      <c r="D313" s="9" t="s">
        <v>38</v>
      </c>
      <c r="E313" s="9" t="s">
        <v>72</v>
      </c>
      <c r="F313" s="18" t="s">
        <v>39</v>
      </c>
      <c r="G313" s="19" t="n">
        <v>580</v>
      </c>
      <c r="H313" s="18" t="s">
        <v>73</v>
      </c>
      <c r="I313" s="19" t="n">
        <v>22</v>
      </c>
      <c r="J313" s="19" t="n">
        <v>0</v>
      </c>
      <c r="K313" s="19" t="n">
        <v>0</v>
      </c>
      <c r="L313" s="19" t="n">
        <f aca="false">G313*I313-J313+K313</f>
        <v>12760</v>
      </c>
    </row>
    <row r="314" customFormat="false" ht="18.75" hidden="false" customHeight="true" outlineLevel="0" collapsed="false">
      <c r="A314" s="20" t="n">
        <v>310</v>
      </c>
      <c r="B314" s="21" t="s">
        <v>295</v>
      </c>
      <c r="C314" s="24" t="s">
        <v>296</v>
      </c>
      <c r="D314" s="13" t="s">
        <v>38</v>
      </c>
      <c r="E314" s="13" t="s">
        <v>458</v>
      </c>
      <c r="F314" s="21" t="s">
        <v>39</v>
      </c>
      <c r="G314" s="22" t="n">
        <v>8</v>
      </c>
      <c r="H314" s="21" t="s">
        <v>67</v>
      </c>
      <c r="I314" s="22" t="n">
        <v>1150</v>
      </c>
      <c r="J314" s="22" t="n">
        <v>0</v>
      </c>
      <c r="K314" s="22" t="n">
        <v>0</v>
      </c>
      <c r="L314" s="22" t="n">
        <f aca="false">G314*I314-J314+K314</f>
        <v>9200</v>
      </c>
    </row>
    <row r="315" customFormat="false" ht="18.75" hidden="false" customHeight="true" outlineLevel="0" collapsed="false">
      <c r="A315" s="17" t="n">
        <v>311</v>
      </c>
      <c r="B315" s="18" t="s">
        <v>295</v>
      </c>
      <c r="C315" s="23" t="s">
        <v>296</v>
      </c>
      <c r="D315" s="9" t="s">
        <v>38</v>
      </c>
      <c r="E315" s="9" t="s">
        <v>76</v>
      </c>
      <c r="F315" s="18" t="s">
        <v>39</v>
      </c>
      <c r="G315" s="19" t="n">
        <v>60</v>
      </c>
      <c r="H315" s="18" t="s">
        <v>67</v>
      </c>
      <c r="I315" s="19" t="n">
        <v>185</v>
      </c>
      <c r="J315" s="19" t="n">
        <v>0</v>
      </c>
      <c r="K315" s="19" t="n">
        <v>0</v>
      </c>
      <c r="L315" s="19" t="n">
        <f aca="false">G315*I315-J315+K315</f>
        <v>11100</v>
      </c>
    </row>
    <row r="316" customFormat="false" ht="18.75" hidden="false" customHeight="true" outlineLevel="0" collapsed="false">
      <c r="A316" s="20" t="n">
        <v>312</v>
      </c>
      <c r="B316" s="21" t="s">
        <v>295</v>
      </c>
      <c r="C316" s="24" t="s">
        <v>296</v>
      </c>
      <c r="D316" s="13" t="s">
        <v>38</v>
      </c>
      <c r="E316" s="13" t="s">
        <v>64</v>
      </c>
      <c r="F316" s="21" t="s">
        <v>39</v>
      </c>
      <c r="G316" s="22" t="n">
        <v>4699.25</v>
      </c>
      <c r="H316" s="21" t="s">
        <v>65</v>
      </c>
      <c r="I316" s="22" t="n">
        <v>16</v>
      </c>
      <c r="J316" s="22" t="n">
        <v>0</v>
      </c>
      <c r="K316" s="22" t="n">
        <v>0</v>
      </c>
      <c r="L316" s="22" t="n">
        <f aca="false">G316*I316-J316+K316</f>
        <v>75188</v>
      </c>
    </row>
    <row r="317" customFormat="false" ht="18.75" hidden="false" customHeight="true" outlineLevel="0" collapsed="false">
      <c r="A317" s="17" t="n">
        <v>313</v>
      </c>
      <c r="B317" s="18" t="s">
        <v>297</v>
      </c>
      <c r="C317" s="23" t="s">
        <v>296</v>
      </c>
      <c r="D317" s="9" t="s">
        <v>42</v>
      </c>
      <c r="E317" s="9" t="s">
        <v>456</v>
      </c>
      <c r="F317" s="18" t="s">
        <v>39</v>
      </c>
      <c r="G317" s="19" t="n">
        <v>100</v>
      </c>
      <c r="H317" s="18" t="s">
        <v>65</v>
      </c>
      <c r="I317" s="19" t="n">
        <v>55</v>
      </c>
      <c r="J317" s="19" t="n">
        <v>0</v>
      </c>
      <c r="K317" s="19" t="n">
        <v>0</v>
      </c>
      <c r="L317" s="19" t="n">
        <f aca="false">G317*I317-J317+K317</f>
        <v>5500</v>
      </c>
    </row>
    <row r="318" customFormat="false" ht="18.75" hidden="false" customHeight="true" outlineLevel="0" collapsed="false">
      <c r="A318" s="20" t="n">
        <v>314</v>
      </c>
      <c r="B318" s="21" t="s">
        <v>297</v>
      </c>
      <c r="C318" s="24" t="s">
        <v>296</v>
      </c>
      <c r="D318" s="13" t="s">
        <v>42</v>
      </c>
      <c r="E318" s="13" t="s">
        <v>513</v>
      </c>
      <c r="F318" s="21" t="s">
        <v>39</v>
      </c>
      <c r="G318" s="22" t="n">
        <v>100</v>
      </c>
      <c r="H318" s="21" t="s">
        <v>67</v>
      </c>
      <c r="I318" s="22" t="n">
        <v>100</v>
      </c>
      <c r="J318" s="22" t="n">
        <v>0</v>
      </c>
      <c r="K318" s="22" t="n">
        <v>0</v>
      </c>
      <c r="L318" s="22" t="n">
        <f aca="false">G318*I318-J318+K318</f>
        <v>10000</v>
      </c>
    </row>
    <row r="319" customFormat="false" ht="18.75" hidden="false" customHeight="true" outlineLevel="0" collapsed="false">
      <c r="A319" s="17" t="n">
        <v>315</v>
      </c>
      <c r="B319" s="18" t="s">
        <v>297</v>
      </c>
      <c r="C319" s="23" t="s">
        <v>296</v>
      </c>
      <c r="D319" s="9" t="s">
        <v>42</v>
      </c>
      <c r="E319" s="9" t="s">
        <v>64</v>
      </c>
      <c r="F319" s="18" t="s">
        <v>39</v>
      </c>
      <c r="G319" s="19" t="n">
        <v>2520.5</v>
      </c>
      <c r="H319" s="18" t="s">
        <v>65</v>
      </c>
      <c r="I319" s="19" t="n">
        <v>16</v>
      </c>
      <c r="J319" s="19" t="n">
        <v>0</v>
      </c>
      <c r="K319" s="19" t="n">
        <v>0</v>
      </c>
      <c r="L319" s="19" t="n">
        <f aca="false">G319*I319-J319+K319</f>
        <v>40328</v>
      </c>
    </row>
    <row r="320" customFormat="false" ht="18.75" hidden="false" customHeight="true" outlineLevel="0" collapsed="false">
      <c r="A320" s="20" t="n">
        <v>316</v>
      </c>
      <c r="B320" s="21" t="s">
        <v>297</v>
      </c>
      <c r="C320" s="24" t="s">
        <v>296</v>
      </c>
      <c r="D320" s="13" t="s">
        <v>42</v>
      </c>
      <c r="E320" s="13" t="s">
        <v>451</v>
      </c>
      <c r="F320" s="21" t="s">
        <v>39</v>
      </c>
      <c r="G320" s="22" t="n">
        <v>1</v>
      </c>
      <c r="H320" s="21"/>
      <c r="I320" s="22" t="n">
        <v>440</v>
      </c>
      <c r="J320" s="22" t="n">
        <v>0</v>
      </c>
      <c r="K320" s="22" t="n">
        <v>0</v>
      </c>
      <c r="L320" s="22" t="n">
        <f aca="false">G320*I320-J320+K320</f>
        <v>440</v>
      </c>
    </row>
    <row r="321" customFormat="false" ht="18.75" hidden="false" customHeight="true" outlineLevel="0" collapsed="false">
      <c r="A321" s="17" t="n">
        <v>317</v>
      </c>
      <c r="B321" s="18" t="s">
        <v>298</v>
      </c>
      <c r="C321" s="23" t="s">
        <v>299</v>
      </c>
      <c r="D321" s="9" t="s">
        <v>38</v>
      </c>
      <c r="E321" s="9" t="s">
        <v>64</v>
      </c>
      <c r="F321" s="18" t="s">
        <v>39</v>
      </c>
      <c r="G321" s="19" t="n">
        <v>3796</v>
      </c>
      <c r="H321" s="18" t="s">
        <v>65</v>
      </c>
      <c r="I321" s="19" t="n">
        <v>16.5</v>
      </c>
      <c r="J321" s="19" t="n">
        <v>0</v>
      </c>
      <c r="K321" s="19" t="n">
        <v>0</v>
      </c>
      <c r="L321" s="19" t="n">
        <f aca="false">G321*I321-J321+K321</f>
        <v>62634</v>
      </c>
    </row>
    <row r="322" customFormat="false" ht="18.75" hidden="false" customHeight="true" outlineLevel="0" collapsed="false">
      <c r="A322" s="20" t="n">
        <v>318</v>
      </c>
      <c r="B322" s="21" t="s">
        <v>298</v>
      </c>
      <c r="C322" s="24" t="s">
        <v>299</v>
      </c>
      <c r="D322" s="13" t="s">
        <v>38</v>
      </c>
      <c r="E322" s="13" t="s">
        <v>513</v>
      </c>
      <c r="F322" s="21" t="s">
        <v>39</v>
      </c>
      <c r="G322" s="22" t="n">
        <v>100</v>
      </c>
      <c r="H322" s="21" t="s">
        <v>67</v>
      </c>
      <c r="I322" s="22" t="n">
        <v>110</v>
      </c>
      <c r="J322" s="22" t="n">
        <v>0</v>
      </c>
      <c r="K322" s="22" t="n">
        <v>0</v>
      </c>
      <c r="L322" s="22" t="n">
        <f aca="false">G322*I322-J322+K322</f>
        <v>11000</v>
      </c>
    </row>
    <row r="323" customFormat="false" ht="18.75" hidden="false" customHeight="true" outlineLevel="0" collapsed="false">
      <c r="A323" s="17" t="n">
        <v>319</v>
      </c>
      <c r="B323" s="18" t="s">
        <v>298</v>
      </c>
      <c r="C323" s="23" t="s">
        <v>299</v>
      </c>
      <c r="D323" s="9" t="s">
        <v>38</v>
      </c>
      <c r="E323" s="9" t="s">
        <v>514</v>
      </c>
      <c r="F323" s="18" t="s">
        <v>39</v>
      </c>
      <c r="G323" s="19" t="n">
        <v>50</v>
      </c>
      <c r="H323" s="18" t="s">
        <v>67</v>
      </c>
      <c r="I323" s="19" t="n">
        <v>440</v>
      </c>
      <c r="J323" s="19" t="n">
        <v>0</v>
      </c>
      <c r="K323" s="19" t="n">
        <v>0</v>
      </c>
      <c r="L323" s="19" t="n">
        <f aca="false">G323*I323-J323+K323</f>
        <v>22000</v>
      </c>
    </row>
    <row r="324" customFormat="false" ht="18.75" hidden="false" customHeight="true" outlineLevel="0" collapsed="false">
      <c r="A324" s="20" t="n">
        <v>320</v>
      </c>
      <c r="B324" s="21" t="s">
        <v>298</v>
      </c>
      <c r="C324" s="24" t="s">
        <v>299</v>
      </c>
      <c r="D324" s="13" t="s">
        <v>38</v>
      </c>
      <c r="E324" s="13" t="s">
        <v>463</v>
      </c>
      <c r="F324" s="21" t="s">
        <v>39</v>
      </c>
      <c r="G324" s="22" t="n">
        <v>50</v>
      </c>
      <c r="H324" s="21" t="s">
        <v>67</v>
      </c>
      <c r="I324" s="22" t="n">
        <v>225</v>
      </c>
      <c r="J324" s="22" t="n">
        <v>0</v>
      </c>
      <c r="K324" s="22" t="n">
        <v>0</v>
      </c>
      <c r="L324" s="22" t="n">
        <f aca="false">G324*I324-J324+K324</f>
        <v>11250</v>
      </c>
    </row>
    <row r="325" customFormat="false" ht="18.75" hidden="false" customHeight="true" outlineLevel="0" collapsed="false">
      <c r="A325" s="17" t="n">
        <v>321</v>
      </c>
      <c r="B325" s="18" t="s">
        <v>300</v>
      </c>
      <c r="C325" s="23" t="s">
        <v>301</v>
      </c>
      <c r="D325" s="9" t="s">
        <v>38</v>
      </c>
      <c r="E325" s="9" t="s">
        <v>473</v>
      </c>
      <c r="F325" s="18" t="s">
        <v>39</v>
      </c>
      <c r="G325" s="19" t="n">
        <v>30</v>
      </c>
      <c r="H325" s="18" t="s">
        <v>67</v>
      </c>
      <c r="I325" s="19" t="n">
        <v>210</v>
      </c>
      <c r="J325" s="19" t="n">
        <v>0</v>
      </c>
      <c r="K325" s="19" t="n">
        <v>0</v>
      </c>
      <c r="L325" s="19" t="n">
        <f aca="false">G325*I325-J325+K325</f>
        <v>6300</v>
      </c>
    </row>
    <row r="326" customFormat="false" ht="18.75" hidden="false" customHeight="true" outlineLevel="0" collapsed="false">
      <c r="A326" s="20" t="n">
        <v>322</v>
      </c>
      <c r="B326" s="21" t="s">
        <v>300</v>
      </c>
      <c r="C326" s="24" t="s">
        <v>301</v>
      </c>
      <c r="D326" s="13" t="s">
        <v>38</v>
      </c>
      <c r="E326" s="13" t="s">
        <v>511</v>
      </c>
      <c r="F326" s="21" t="s">
        <v>39</v>
      </c>
      <c r="G326" s="22" t="n">
        <v>12</v>
      </c>
      <c r="H326" s="21" t="s">
        <v>67</v>
      </c>
      <c r="I326" s="22" t="n">
        <v>180</v>
      </c>
      <c r="J326" s="22" t="n">
        <v>0</v>
      </c>
      <c r="K326" s="22" t="n">
        <v>0</v>
      </c>
      <c r="L326" s="22" t="n">
        <f aca="false">G326*I326-J326+K326</f>
        <v>2160</v>
      </c>
    </row>
    <row r="327" customFormat="false" ht="18.75" hidden="false" customHeight="true" outlineLevel="0" collapsed="false">
      <c r="A327" s="17" t="n">
        <v>323</v>
      </c>
      <c r="B327" s="18" t="s">
        <v>300</v>
      </c>
      <c r="C327" s="23" t="s">
        <v>301</v>
      </c>
      <c r="D327" s="9" t="s">
        <v>38</v>
      </c>
      <c r="E327" s="9" t="s">
        <v>515</v>
      </c>
      <c r="F327" s="18" t="s">
        <v>39</v>
      </c>
      <c r="G327" s="19" t="n">
        <v>29</v>
      </c>
      <c r="H327" s="18" t="s">
        <v>67</v>
      </c>
      <c r="I327" s="19" t="n">
        <v>425</v>
      </c>
      <c r="J327" s="19" t="n">
        <v>0</v>
      </c>
      <c r="K327" s="19" t="n">
        <v>0</v>
      </c>
      <c r="L327" s="19" t="n">
        <f aca="false">G327*I327-J327+K327</f>
        <v>12325</v>
      </c>
    </row>
    <row r="328" customFormat="false" ht="18.75" hidden="false" customHeight="true" outlineLevel="0" collapsed="false">
      <c r="A328" s="20" t="n">
        <v>324</v>
      </c>
      <c r="B328" s="21" t="s">
        <v>300</v>
      </c>
      <c r="C328" s="24" t="s">
        <v>301</v>
      </c>
      <c r="D328" s="13" t="s">
        <v>38</v>
      </c>
      <c r="E328" s="13" t="s">
        <v>69</v>
      </c>
      <c r="F328" s="21" t="s">
        <v>39</v>
      </c>
      <c r="G328" s="22" t="n">
        <v>5</v>
      </c>
      <c r="H328" s="21" t="s">
        <v>67</v>
      </c>
      <c r="I328" s="22" t="n">
        <v>5400</v>
      </c>
      <c r="J328" s="22" t="n">
        <v>0</v>
      </c>
      <c r="K328" s="22" t="n">
        <v>0</v>
      </c>
      <c r="L328" s="22" t="n">
        <f aca="false">G328*I328-J328+K328</f>
        <v>27000</v>
      </c>
    </row>
    <row r="329" customFormat="false" ht="18.75" hidden="false" customHeight="true" outlineLevel="0" collapsed="false">
      <c r="A329" s="17" t="n">
        <v>325</v>
      </c>
      <c r="B329" s="18" t="s">
        <v>300</v>
      </c>
      <c r="C329" s="23" t="s">
        <v>301</v>
      </c>
      <c r="D329" s="9" t="s">
        <v>38</v>
      </c>
      <c r="E329" s="9" t="s">
        <v>66</v>
      </c>
      <c r="F329" s="18" t="s">
        <v>39</v>
      </c>
      <c r="G329" s="19" t="n">
        <v>150</v>
      </c>
      <c r="H329" s="18" t="s">
        <v>67</v>
      </c>
      <c r="I329" s="19" t="n">
        <v>245</v>
      </c>
      <c r="J329" s="19" t="n">
        <v>0</v>
      </c>
      <c r="K329" s="19" t="n">
        <v>0</v>
      </c>
      <c r="L329" s="19" t="n">
        <f aca="false">G329*I329-J329+K329</f>
        <v>36750</v>
      </c>
    </row>
    <row r="330" customFormat="false" ht="18.75" hidden="false" customHeight="true" outlineLevel="0" collapsed="false">
      <c r="A330" s="20" t="n">
        <v>326</v>
      </c>
      <c r="B330" s="21" t="s">
        <v>300</v>
      </c>
      <c r="C330" s="24" t="s">
        <v>301</v>
      </c>
      <c r="D330" s="13" t="s">
        <v>38</v>
      </c>
      <c r="E330" s="13" t="s">
        <v>71</v>
      </c>
      <c r="F330" s="21" t="s">
        <v>39</v>
      </c>
      <c r="G330" s="22" t="n">
        <v>16</v>
      </c>
      <c r="H330" s="21" t="s">
        <v>67</v>
      </c>
      <c r="I330" s="22" t="n">
        <v>1375</v>
      </c>
      <c r="J330" s="22" t="n">
        <v>0</v>
      </c>
      <c r="K330" s="22" t="n">
        <v>0</v>
      </c>
      <c r="L330" s="22" t="n">
        <f aca="false">G330*I330-J330+K330</f>
        <v>22000</v>
      </c>
    </row>
    <row r="331" customFormat="false" ht="18.75" hidden="false" customHeight="true" outlineLevel="0" collapsed="false">
      <c r="A331" s="17" t="n">
        <v>327</v>
      </c>
      <c r="B331" s="18" t="s">
        <v>300</v>
      </c>
      <c r="C331" s="23" t="s">
        <v>301</v>
      </c>
      <c r="D331" s="9" t="s">
        <v>38</v>
      </c>
      <c r="E331" s="9" t="s">
        <v>515</v>
      </c>
      <c r="F331" s="18" t="s">
        <v>39</v>
      </c>
      <c r="G331" s="19" t="n">
        <v>25</v>
      </c>
      <c r="H331" s="18" t="s">
        <v>67</v>
      </c>
      <c r="I331" s="19" t="n">
        <v>400</v>
      </c>
      <c r="J331" s="19" t="n">
        <v>0</v>
      </c>
      <c r="K331" s="19" t="n">
        <v>0</v>
      </c>
      <c r="L331" s="19" t="n">
        <f aca="false">G331*I331-J331+K331</f>
        <v>10000</v>
      </c>
    </row>
    <row r="332" customFormat="false" ht="18.75" hidden="false" customHeight="true" outlineLevel="0" collapsed="false">
      <c r="A332" s="20" t="n">
        <v>328</v>
      </c>
      <c r="B332" s="21" t="s">
        <v>302</v>
      </c>
      <c r="C332" s="24" t="s">
        <v>303</v>
      </c>
      <c r="D332" s="13" t="s">
        <v>42</v>
      </c>
      <c r="E332" s="13" t="s">
        <v>69</v>
      </c>
      <c r="F332" s="21" t="s">
        <v>39</v>
      </c>
      <c r="G332" s="22" t="n">
        <v>6</v>
      </c>
      <c r="H332" s="21" t="s">
        <v>67</v>
      </c>
      <c r="I332" s="22" t="n">
        <v>5300</v>
      </c>
      <c r="J332" s="22" t="n">
        <v>0</v>
      </c>
      <c r="K332" s="22" t="n">
        <v>0</v>
      </c>
      <c r="L332" s="22" t="n">
        <f aca="false">G332*I332-J332+K332</f>
        <v>31800</v>
      </c>
    </row>
    <row r="333" customFormat="false" ht="18.75" hidden="false" customHeight="true" outlineLevel="0" collapsed="false">
      <c r="A333" s="17" t="n">
        <v>329</v>
      </c>
      <c r="B333" s="18" t="s">
        <v>304</v>
      </c>
      <c r="C333" s="23" t="s">
        <v>305</v>
      </c>
      <c r="D333" s="9" t="s">
        <v>40</v>
      </c>
      <c r="E333" s="9" t="s">
        <v>64</v>
      </c>
      <c r="F333" s="18" t="s">
        <v>39</v>
      </c>
      <c r="G333" s="19" t="n">
        <v>3165.75</v>
      </c>
      <c r="H333" s="18" t="s">
        <v>65</v>
      </c>
      <c r="I333" s="19" t="n">
        <v>16</v>
      </c>
      <c r="J333" s="19" t="n">
        <v>0</v>
      </c>
      <c r="K333" s="19" t="n">
        <v>0</v>
      </c>
      <c r="L333" s="19" t="n">
        <f aca="false">G333*I333-J333+K333</f>
        <v>50652</v>
      </c>
    </row>
    <row r="334" customFormat="false" ht="18.75" hidden="false" customHeight="true" outlineLevel="0" collapsed="false">
      <c r="A334" s="20" t="n">
        <v>330</v>
      </c>
      <c r="B334" s="21" t="s">
        <v>304</v>
      </c>
      <c r="C334" s="24" t="s">
        <v>305</v>
      </c>
      <c r="D334" s="13" t="s">
        <v>40</v>
      </c>
      <c r="E334" s="13" t="s">
        <v>467</v>
      </c>
      <c r="F334" s="21" t="s">
        <v>39</v>
      </c>
      <c r="G334" s="22" t="n">
        <v>572</v>
      </c>
      <c r="H334" s="21" t="s">
        <v>67</v>
      </c>
      <c r="I334" s="22" t="n">
        <v>12</v>
      </c>
      <c r="J334" s="22" t="n">
        <v>0</v>
      </c>
      <c r="K334" s="22" t="n">
        <v>0</v>
      </c>
      <c r="L334" s="22" t="n">
        <f aca="false">G334*I334-J334+K334</f>
        <v>6864</v>
      </c>
    </row>
    <row r="335" customFormat="false" ht="18.75" hidden="false" customHeight="true" outlineLevel="0" collapsed="false">
      <c r="A335" s="17" t="n">
        <v>331</v>
      </c>
      <c r="B335" s="18" t="s">
        <v>304</v>
      </c>
      <c r="C335" s="23" t="s">
        <v>305</v>
      </c>
      <c r="D335" s="9" t="s">
        <v>40</v>
      </c>
      <c r="E335" s="9" t="s">
        <v>459</v>
      </c>
      <c r="F335" s="18" t="s">
        <v>39</v>
      </c>
      <c r="G335" s="19" t="n">
        <v>273</v>
      </c>
      <c r="H335" s="18" t="s">
        <v>65</v>
      </c>
      <c r="I335" s="19" t="n">
        <v>16</v>
      </c>
      <c r="J335" s="19" t="n">
        <v>0</v>
      </c>
      <c r="K335" s="19" t="n">
        <v>0</v>
      </c>
      <c r="L335" s="19" t="n">
        <f aca="false">G335*I335-J335+K335</f>
        <v>4368</v>
      </c>
    </row>
    <row r="336" customFormat="false" ht="18.75" hidden="false" customHeight="true" outlineLevel="0" collapsed="false">
      <c r="A336" s="20" t="n">
        <v>332</v>
      </c>
      <c r="B336" s="21" t="s">
        <v>304</v>
      </c>
      <c r="C336" s="24" t="s">
        <v>305</v>
      </c>
      <c r="D336" s="13" t="s">
        <v>40</v>
      </c>
      <c r="E336" s="13" t="s">
        <v>453</v>
      </c>
      <c r="F336" s="21" t="s">
        <v>39</v>
      </c>
      <c r="G336" s="22" t="n">
        <v>6</v>
      </c>
      <c r="H336" s="21"/>
      <c r="I336" s="22" t="n">
        <v>1700</v>
      </c>
      <c r="J336" s="22" t="n">
        <v>0</v>
      </c>
      <c r="K336" s="22" t="n">
        <v>0</v>
      </c>
      <c r="L336" s="22" t="n">
        <f aca="false">G336*I336-J336+K336</f>
        <v>10200</v>
      </c>
    </row>
    <row r="337" customFormat="false" ht="18.75" hidden="false" customHeight="true" outlineLevel="0" collapsed="false">
      <c r="A337" s="17" t="n">
        <v>333</v>
      </c>
      <c r="B337" s="18" t="s">
        <v>304</v>
      </c>
      <c r="C337" s="23" t="s">
        <v>305</v>
      </c>
      <c r="D337" s="9" t="s">
        <v>40</v>
      </c>
      <c r="E337" s="9" t="s">
        <v>72</v>
      </c>
      <c r="F337" s="18" t="s">
        <v>39</v>
      </c>
      <c r="G337" s="19" t="n">
        <v>931</v>
      </c>
      <c r="H337" s="18" t="s">
        <v>73</v>
      </c>
      <c r="I337" s="19" t="n">
        <v>22</v>
      </c>
      <c r="J337" s="19" t="n">
        <v>0</v>
      </c>
      <c r="K337" s="19" t="n">
        <v>0</v>
      </c>
      <c r="L337" s="19" t="n">
        <f aca="false">G337*I337-J337+K337</f>
        <v>20482</v>
      </c>
    </row>
    <row r="338" customFormat="false" ht="18.75" hidden="false" customHeight="true" outlineLevel="0" collapsed="false">
      <c r="A338" s="20" t="n">
        <v>334</v>
      </c>
      <c r="B338" s="21" t="s">
        <v>306</v>
      </c>
      <c r="C338" s="24" t="s">
        <v>307</v>
      </c>
      <c r="D338" s="13" t="s">
        <v>308</v>
      </c>
      <c r="E338" s="13" t="s">
        <v>69</v>
      </c>
      <c r="F338" s="21" t="s">
        <v>39</v>
      </c>
      <c r="G338" s="22" t="n">
        <v>2</v>
      </c>
      <c r="H338" s="21" t="s">
        <v>67</v>
      </c>
      <c r="I338" s="22" t="n">
        <v>5300</v>
      </c>
      <c r="J338" s="22" t="n">
        <v>0</v>
      </c>
      <c r="K338" s="22" t="n">
        <v>0</v>
      </c>
      <c r="L338" s="22" t="n">
        <f aca="false">G338*I338-J338+K338</f>
        <v>10600</v>
      </c>
    </row>
    <row r="339" customFormat="false" ht="18.75" hidden="false" customHeight="true" outlineLevel="0" collapsed="false">
      <c r="A339" s="17" t="n">
        <v>335</v>
      </c>
      <c r="B339" s="18" t="s">
        <v>309</v>
      </c>
      <c r="C339" s="23" t="s">
        <v>310</v>
      </c>
      <c r="D339" s="9" t="s">
        <v>40</v>
      </c>
      <c r="E339" s="9" t="s">
        <v>64</v>
      </c>
      <c r="F339" s="18" t="s">
        <v>39</v>
      </c>
      <c r="G339" s="19" t="n">
        <v>732.5</v>
      </c>
      <c r="H339" s="18" t="s">
        <v>65</v>
      </c>
      <c r="I339" s="19" t="n">
        <v>16</v>
      </c>
      <c r="J339" s="19" t="n">
        <v>0</v>
      </c>
      <c r="K339" s="19" t="n">
        <v>0</v>
      </c>
      <c r="L339" s="19" t="n">
        <f aca="false">G339*I339-J339+K339</f>
        <v>11720</v>
      </c>
    </row>
    <row r="340" customFormat="false" ht="18.75" hidden="false" customHeight="true" outlineLevel="0" collapsed="false">
      <c r="A340" s="20" t="n">
        <v>336</v>
      </c>
      <c r="B340" s="21" t="s">
        <v>311</v>
      </c>
      <c r="C340" s="24" t="s">
        <v>310</v>
      </c>
      <c r="D340" s="13" t="s">
        <v>42</v>
      </c>
      <c r="E340" s="13" t="s">
        <v>69</v>
      </c>
      <c r="F340" s="21" t="s">
        <v>39</v>
      </c>
      <c r="G340" s="22" t="n">
        <v>5</v>
      </c>
      <c r="H340" s="21" t="s">
        <v>67</v>
      </c>
      <c r="I340" s="22" t="n">
        <v>5400</v>
      </c>
      <c r="J340" s="22" t="n">
        <v>0</v>
      </c>
      <c r="K340" s="22" t="n">
        <v>0</v>
      </c>
      <c r="L340" s="22" t="n">
        <f aca="false">G340*I340-J340+K340</f>
        <v>27000</v>
      </c>
    </row>
    <row r="341" customFormat="false" ht="18.75" hidden="false" customHeight="true" outlineLevel="0" collapsed="false">
      <c r="A341" s="17" t="n">
        <v>337</v>
      </c>
      <c r="B341" s="18" t="s">
        <v>311</v>
      </c>
      <c r="C341" s="23" t="s">
        <v>310</v>
      </c>
      <c r="D341" s="9" t="s">
        <v>42</v>
      </c>
      <c r="E341" s="9" t="s">
        <v>508</v>
      </c>
      <c r="F341" s="18" t="s">
        <v>39</v>
      </c>
      <c r="G341" s="19" t="n">
        <v>24</v>
      </c>
      <c r="H341" s="18" t="s">
        <v>67</v>
      </c>
      <c r="I341" s="19" t="n">
        <v>600</v>
      </c>
      <c r="J341" s="19" t="n">
        <v>0</v>
      </c>
      <c r="K341" s="19" t="n">
        <v>0</v>
      </c>
      <c r="L341" s="19" t="n">
        <f aca="false">G341*I341-J341+K341</f>
        <v>14400</v>
      </c>
    </row>
    <row r="342" customFormat="false" ht="18.75" hidden="false" customHeight="true" outlineLevel="0" collapsed="false">
      <c r="A342" s="20" t="n">
        <v>338</v>
      </c>
      <c r="B342" s="21" t="s">
        <v>311</v>
      </c>
      <c r="C342" s="24" t="s">
        <v>310</v>
      </c>
      <c r="D342" s="13" t="s">
        <v>42</v>
      </c>
      <c r="E342" s="13" t="s">
        <v>457</v>
      </c>
      <c r="F342" s="21" t="s">
        <v>39</v>
      </c>
      <c r="G342" s="22" t="n">
        <v>2</v>
      </c>
      <c r="H342" s="21" t="s">
        <v>67</v>
      </c>
      <c r="I342" s="22" t="n">
        <v>3900</v>
      </c>
      <c r="J342" s="22" t="n">
        <v>0</v>
      </c>
      <c r="K342" s="22" t="n">
        <v>0</v>
      </c>
      <c r="L342" s="22" t="n">
        <f aca="false">G342*I342-J342+K342</f>
        <v>7800</v>
      </c>
    </row>
    <row r="343" customFormat="false" ht="18.75" hidden="false" customHeight="true" outlineLevel="0" collapsed="false">
      <c r="A343" s="17" t="n">
        <v>339</v>
      </c>
      <c r="B343" s="18" t="s">
        <v>311</v>
      </c>
      <c r="C343" s="23" t="s">
        <v>310</v>
      </c>
      <c r="D343" s="9" t="s">
        <v>42</v>
      </c>
      <c r="E343" s="9" t="s">
        <v>64</v>
      </c>
      <c r="F343" s="18" t="s">
        <v>39</v>
      </c>
      <c r="G343" s="19" t="n">
        <v>619.5</v>
      </c>
      <c r="H343" s="18" t="s">
        <v>65</v>
      </c>
      <c r="I343" s="19" t="n">
        <v>16</v>
      </c>
      <c r="J343" s="19" t="n">
        <v>0</v>
      </c>
      <c r="K343" s="19" t="n">
        <v>0</v>
      </c>
      <c r="L343" s="19" t="n">
        <f aca="false">G343*I343-J343+K343</f>
        <v>9912</v>
      </c>
    </row>
    <row r="344" customFormat="false" ht="18.75" hidden="false" customHeight="true" outlineLevel="0" collapsed="false">
      <c r="A344" s="20" t="n">
        <v>340</v>
      </c>
      <c r="B344" s="21" t="s">
        <v>311</v>
      </c>
      <c r="C344" s="24" t="s">
        <v>310</v>
      </c>
      <c r="D344" s="13" t="s">
        <v>42</v>
      </c>
      <c r="E344" s="13" t="s">
        <v>66</v>
      </c>
      <c r="F344" s="21" t="s">
        <v>39</v>
      </c>
      <c r="G344" s="22" t="n">
        <v>200</v>
      </c>
      <c r="H344" s="21" t="s">
        <v>67</v>
      </c>
      <c r="I344" s="22" t="n">
        <v>260</v>
      </c>
      <c r="J344" s="22" t="n">
        <v>0</v>
      </c>
      <c r="K344" s="22" t="n">
        <v>0</v>
      </c>
      <c r="L344" s="22" t="n">
        <f aca="false">G344*I344-J344+K344</f>
        <v>52000</v>
      </c>
    </row>
    <row r="345" customFormat="false" ht="18.75" hidden="false" customHeight="true" outlineLevel="0" collapsed="false">
      <c r="A345" s="17" t="n">
        <v>341</v>
      </c>
      <c r="B345" s="18" t="s">
        <v>312</v>
      </c>
      <c r="C345" s="23" t="s">
        <v>313</v>
      </c>
      <c r="D345" s="9" t="s">
        <v>38</v>
      </c>
      <c r="E345" s="9" t="s">
        <v>64</v>
      </c>
      <c r="F345" s="18" t="s">
        <v>39</v>
      </c>
      <c r="G345" s="19" t="n">
        <v>5894.75</v>
      </c>
      <c r="H345" s="18" t="s">
        <v>65</v>
      </c>
      <c r="I345" s="19" t="n">
        <v>16</v>
      </c>
      <c r="J345" s="19" t="n">
        <v>0</v>
      </c>
      <c r="K345" s="19" t="n">
        <v>0</v>
      </c>
      <c r="L345" s="19" t="n">
        <f aca="false">G345*I345-J345+K345</f>
        <v>94316</v>
      </c>
    </row>
    <row r="346" customFormat="false" ht="18.75" hidden="false" customHeight="true" outlineLevel="0" collapsed="false">
      <c r="A346" s="20" t="n">
        <v>342</v>
      </c>
      <c r="B346" s="21" t="s">
        <v>312</v>
      </c>
      <c r="C346" s="24" t="s">
        <v>313</v>
      </c>
      <c r="D346" s="13" t="s">
        <v>38</v>
      </c>
      <c r="E346" s="13" t="s">
        <v>471</v>
      </c>
      <c r="F346" s="21" t="s">
        <v>39</v>
      </c>
      <c r="G346" s="22" t="n">
        <v>2</v>
      </c>
      <c r="H346" s="21" t="s">
        <v>67</v>
      </c>
      <c r="I346" s="22" t="n">
        <v>8500</v>
      </c>
      <c r="J346" s="22" t="n">
        <v>0</v>
      </c>
      <c r="K346" s="22" t="n">
        <v>0</v>
      </c>
      <c r="L346" s="22" t="n">
        <f aca="false">G346*I346-J346+K346</f>
        <v>17000</v>
      </c>
    </row>
    <row r="347" customFormat="false" ht="18.75" hidden="false" customHeight="true" outlineLevel="0" collapsed="false">
      <c r="A347" s="17" t="n">
        <v>343</v>
      </c>
      <c r="B347" s="18" t="s">
        <v>312</v>
      </c>
      <c r="C347" s="23" t="s">
        <v>313</v>
      </c>
      <c r="D347" s="9" t="s">
        <v>38</v>
      </c>
      <c r="E347" s="9" t="s">
        <v>72</v>
      </c>
      <c r="F347" s="18" t="s">
        <v>39</v>
      </c>
      <c r="G347" s="19" t="n">
        <v>150</v>
      </c>
      <c r="H347" s="18" t="s">
        <v>73</v>
      </c>
      <c r="I347" s="19" t="n">
        <v>22</v>
      </c>
      <c r="J347" s="19" t="n">
        <v>0</v>
      </c>
      <c r="K347" s="19" t="n">
        <v>0</v>
      </c>
      <c r="L347" s="19" t="n">
        <f aca="false">G347*I347-J347+K347</f>
        <v>3300</v>
      </c>
    </row>
    <row r="348" customFormat="false" ht="18.75" hidden="false" customHeight="true" outlineLevel="0" collapsed="false">
      <c r="A348" s="20" t="n">
        <v>344</v>
      </c>
      <c r="B348" s="21" t="s">
        <v>312</v>
      </c>
      <c r="C348" s="24" t="s">
        <v>313</v>
      </c>
      <c r="D348" s="13" t="s">
        <v>38</v>
      </c>
      <c r="E348" s="13" t="s">
        <v>511</v>
      </c>
      <c r="F348" s="21" t="s">
        <v>39</v>
      </c>
      <c r="G348" s="22" t="n">
        <v>180</v>
      </c>
      <c r="H348" s="21" t="s">
        <v>67</v>
      </c>
      <c r="I348" s="22" t="n">
        <v>1</v>
      </c>
      <c r="J348" s="22" t="n">
        <v>0</v>
      </c>
      <c r="K348" s="22" t="n">
        <v>0</v>
      </c>
      <c r="L348" s="22" t="n">
        <f aca="false">G348*I348-J348+K348</f>
        <v>180</v>
      </c>
    </row>
    <row r="349" customFormat="false" ht="18.75" hidden="false" customHeight="true" outlineLevel="0" collapsed="false">
      <c r="A349" s="17" t="n">
        <v>345</v>
      </c>
      <c r="B349" s="18" t="s">
        <v>312</v>
      </c>
      <c r="C349" s="23" t="s">
        <v>313</v>
      </c>
      <c r="D349" s="9" t="s">
        <v>38</v>
      </c>
      <c r="E349" s="9" t="s">
        <v>71</v>
      </c>
      <c r="F349" s="18" t="s">
        <v>39</v>
      </c>
      <c r="G349" s="19" t="n">
        <v>30</v>
      </c>
      <c r="H349" s="18" t="s">
        <v>67</v>
      </c>
      <c r="I349" s="19" t="n">
        <v>1660</v>
      </c>
      <c r="J349" s="19" t="n">
        <v>0</v>
      </c>
      <c r="K349" s="19" t="n">
        <v>0</v>
      </c>
      <c r="L349" s="19" t="n">
        <f aca="false">G349*I349-J349+K349</f>
        <v>49800</v>
      </c>
    </row>
    <row r="350" customFormat="false" ht="18.75" hidden="false" customHeight="true" outlineLevel="0" collapsed="false">
      <c r="A350" s="20" t="n">
        <v>346</v>
      </c>
      <c r="B350" s="21" t="s">
        <v>312</v>
      </c>
      <c r="C350" s="24" t="s">
        <v>313</v>
      </c>
      <c r="D350" s="13" t="s">
        <v>38</v>
      </c>
      <c r="E350" s="13" t="s">
        <v>495</v>
      </c>
      <c r="F350" s="21" t="s">
        <v>39</v>
      </c>
      <c r="G350" s="22" t="n">
        <v>10</v>
      </c>
      <c r="H350" s="21" t="s">
        <v>67</v>
      </c>
      <c r="I350" s="22" t="n">
        <v>850</v>
      </c>
      <c r="J350" s="22" t="n">
        <v>0</v>
      </c>
      <c r="K350" s="22" t="n">
        <v>0</v>
      </c>
      <c r="L350" s="22" t="n">
        <f aca="false">G350*I350-J350+K350</f>
        <v>8500</v>
      </c>
    </row>
    <row r="351" customFormat="false" ht="18.75" hidden="false" customHeight="true" outlineLevel="0" collapsed="false">
      <c r="A351" s="17" t="n">
        <v>347</v>
      </c>
      <c r="B351" s="18" t="s">
        <v>312</v>
      </c>
      <c r="C351" s="23" t="s">
        <v>313</v>
      </c>
      <c r="D351" s="9" t="s">
        <v>38</v>
      </c>
      <c r="E351" s="9" t="s">
        <v>473</v>
      </c>
      <c r="F351" s="18" t="s">
        <v>39</v>
      </c>
      <c r="G351" s="19" t="n">
        <v>10</v>
      </c>
      <c r="H351" s="18" t="s">
        <v>67</v>
      </c>
      <c r="I351" s="19" t="n">
        <v>310</v>
      </c>
      <c r="J351" s="19" t="n">
        <v>0</v>
      </c>
      <c r="K351" s="19" t="n">
        <v>0</v>
      </c>
      <c r="L351" s="19" t="n">
        <f aca="false">G351*I351-J351+K351</f>
        <v>3100</v>
      </c>
    </row>
    <row r="352" customFormat="false" ht="18.75" hidden="false" customHeight="true" outlineLevel="0" collapsed="false">
      <c r="A352" s="20" t="n">
        <v>348</v>
      </c>
      <c r="B352" s="21" t="s">
        <v>312</v>
      </c>
      <c r="C352" s="24" t="s">
        <v>313</v>
      </c>
      <c r="D352" s="13" t="s">
        <v>38</v>
      </c>
      <c r="E352" s="13" t="s">
        <v>74</v>
      </c>
      <c r="F352" s="21" t="s">
        <v>39</v>
      </c>
      <c r="G352" s="22" t="n">
        <v>30</v>
      </c>
      <c r="H352" s="21" t="s">
        <v>67</v>
      </c>
      <c r="I352" s="22" t="n">
        <v>790</v>
      </c>
      <c r="J352" s="22" t="n">
        <v>0</v>
      </c>
      <c r="K352" s="22" t="n">
        <v>0</v>
      </c>
      <c r="L352" s="22" t="n">
        <f aca="false">G352*I352-J352+K352</f>
        <v>23700</v>
      </c>
    </row>
    <row r="353" customFormat="false" ht="18.75" hidden="false" customHeight="true" outlineLevel="0" collapsed="false">
      <c r="A353" s="17" t="n">
        <v>349</v>
      </c>
      <c r="B353" s="18" t="s">
        <v>312</v>
      </c>
      <c r="C353" s="23" t="s">
        <v>313</v>
      </c>
      <c r="D353" s="9" t="s">
        <v>38</v>
      </c>
      <c r="E353" s="9" t="s">
        <v>452</v>
      </c>
      <c r="F353" s="18" t="s">
        <v>39</v>
      </c>
      <c r="G353" s="19" t="n">
        <v>13</v>
      </c>
      <c r="H353" s="18" t="s">
        <v>67</v>
      </c>
      <c r="I353" s="19" t="n">
        <v>1125</v>
      </c>
      <c r="J353" s="19" t="n">
        <v>0</v>
      </c>
      <c r="K353" s="19" t="n">
        <v>0</v>
      </c>
      <c r="L353" s="19" t="n">
        <f aca="false">G353*I353-J353+K353</f>
        <v>14625</v>
      </c>
    </row>
    <row r="354" customFormat="false" ht="18.75" hidden="false" customHeight="true" outlineLevel="0" collapsed="false">
      <c r="A354" s="20" t="n">
        <v>350</v>
      </c>
      <c r="B354" s="21" t="s">
        <v>312</v>
      </c>
      <c r="C354" s="24" t="s">
        <v>313</v>
      </c>
      <c r="D354" s="13" t="s">
        <v>38</v>
      </c>
      <c r="E354" s="13" t="s">
        <v>463</v>
      </c>
      <c r="F354" s="21" t="s">
        <v>39</v>
      </c>
      <c r="G354" s="22" t="n">
        <v>15</v>
      </c>
      <c r="H354" s="21" t="s">
        <v>67</v>
      </c>
      <c r="I354" s="22" t="n">
        <v>225</v>
      </c>
      <c r="J354" s="22" t="n">
        <v>0</v>
      </c>
      <c r="K354" s="22" t="n">
        <v>0</v>
      </c>
      <c r="L354" s="22" t="n">
        <f aca="false">G354*I354-J354+K354</f>
        <v>3375</v>
      </c>
    </row>
    <row r="355" customFormat="false" ht="18.75" hidden="false" customHeight="true" outlineLevel="0" collapsed="false">
      <c r="A355" s="17" t="n">
        <v>351</v>
      </c>
      <c r="B355" s="18" t="s">
        <v>314</v>
      </c>
      <c r="C355" s="23" t="s">
        <v>315</v>
      </c>
      <c r="D355" s="9" t="s">
        <v>38</v>
      </c>
      <c r="E355" s="9" t="s">
        <v>477</v>
      </c>
      <c r="F355" s="18" t="s">
        <v>39</v>
      </c>
      <c r="G355" s="19" t="n">
        <v>4</v>
      </c>
      <c r="H355" s="18" t="s">
        <v>67</v>
      </c>
      <c r="I355" s="19" t="n">
        <v>2400</v>
      </c>
      <c r="J355" s="19" t="n">
        <v>0</v>
      </c>
      <c r="K355" s="19" t="n">
        <v>0</v>
      </c>
      <c r="L355" s="19" t="n">
        <f aca="false">G355*I355-J355+K355</f>
        <v>9600</v>
      </c>
    </row>
    <row r="356" customFormat="false" ht="18.75" hidden="false" customHeight="true" outlineLevel="0" collapsed="false">
      <c r="A356" s="20" t="n">
        <v>352</v>
      </c>
      <c r="B356" s="21" t="s">
        <v>314</v>
      </c>
      <c r="C356" s="24" t="s">
        <v>315</v>
      </c>
      <c r="D356" s="13" t="s">
        <v>38</v>
      </c>
      <c r="E356" s="13" t="s">
        <v>64</v>
      </c>
      <c r="F356" s="21" t="s">
        <v>39</v>
      </c>
      <c r="G356" s="22" t="n">
        <v>6383.75</v>
      </c>
      <c r="H356" s="21" t="s">
        <v>65</v>
      </c>
      <c r="I356" s="22" t="n">
        <v>16</v>
      </c>
      <c r="J356" s="22" t="n">
        <v>0</v>
      </c>
      <c r="K356" s="22" t="n">
        <v>0</v>
      </c>
      <c r="L356" s="22" t="n">
        <f aca="false">G356*I356-J356+K356</f>
        <v>102140</v>
      </c>
    </row>
    <row r="357" customFormat="false" ht="18.75" hidden="false" customHeight="true" outlineLevel="0" collapsed="false">
      <c r="A357" s="17" t="n">
        <v>353</v>
      </c>
      <c r="B357" s="18" t="s">
        <v>314</v>
      </c>
      <c r="C357" s="23" t="s">
        <v>315</v>
      </c>
      <c r="D357" s="9" t="s">
        <v>38</v>
      </c>
      <c r="E357" s="9" t="s">
        <v>449</v>
      </c>
      <c r="F357" s="18" t="s">
        <v>39</v>
      </c>
      <c r="G357" s="19" t="n">
        <v>1160</v>
      </c>
      <c r="H357" s="18" t="s">
        <v>73</v>
      </c>
      <c r="I357" s="19" t="n">
        <v>11</v>
      </c>
      <c r="J357" s="19" t="n">
        <v>0</v>
      </c>
      <c r="K357" s="19" t="n">
        <v>0</v>
      </c>
      <c r="L357" s="19" t="n">
        <f aca="false">G357*I357-J357+K357</f>
        <v>12760</v>
      </c>
    </row>
    <row r="358" customFormat="false" ht="18.75" hidden="false" customHeight="true" outlineLevel="0" collapsed="false">
      <c r="A358" s="20" t="n">
        <v>354</v>
      </c>
      <c r="B358" s="21" t="s">
        <v>314</v>
      </c>
      <c r="C358" s="24" t="s">
        <v>315</v>
      </c>
      <c r="D358" s="13" t="s">
        <v>38</v>
      </c>
      <c r="E358" s="13" t="s">
        <v>508</v>
      </c>
      <c r="F358" s="21" t="s">
        <v>39</v>
      </c>
      <c r="G358" s="22" t="n">
        <v>26</v>
      </c>
      <c r="H358" s="21" t="s">
        <v>67</v>
      </c>
      <c r="I358" s="22" t="n">
        <v>575</v>
      </c>
      <c r="J358" s="22" t="n">
        <v>0</v>
      </c>
      <c r="K358" s="22" t="n">
        <v>0</v>
      </c>
      <c r="L358" s="22" t="n">
        <f aca="false">G358*I358-J358+K358</f>
        <v>14950</v>
      </c>
    </row>
    <row r="359" customFormat="false" ht="18.75" hidden="false" customHeight="true" outlineLevel="0" collapsed="false">
      <c r="A359" s="17" t="n">
        <v>355</v>
      </c>
      <c r="B359" s="18" t="s">
        <v>314</v>
      </c>
      <c r="C359" s="23" t="s">
        <v>315</v>
      </c>
      <c r="D359" s="9" t="s">
        <v>38</v>
      </c>
      <c r="E359" s="9" t="s">
        <v>461</v>
      </c>
      <c r="F359" s="18" t="s">
        <v>39</v>
      </c>
      <c r="G359" s="19" t="n">
        <v>12</v>
      </c>
      <c r="H359" s="18" t="s">
        <v>67</v>
      </c>
      <c r="I359" s="19" t="n">
        <v>800</v>
      </c>
      <c r="J359" s="19" t="n">
        <v>0</v>
      </c>
      <c r="K359" s="19" t="n">
        <v>0</v>
      </c>
      <c r="L359" s="19" t="n">
        <f aca="false">G359*I359-J359+K359</f>
        <v>9600</v>
      </c>
    </row>
    <row r="360" customFormat="false" ht="18.75" hidden="false" customHeight="true" outlineLevel="0" collapsed="false">
      <c r="A360" s="20" t="n">
        <v>356</v>
      </c>
      <c r="B360" s="21" t="s">
        <v>314</v>
      </c>
      <c r="C360" s="24" t="s">
        <v>315</v>
      </c>
      <c r="D360" s="13" t="s">
        <v>38</v>
      </c>
      <c r="E360" s="13" t="s">
        <v>467</v>
      </c>
      <c r="F360" s="21" t="s">
        <v>39</v>
      </c>
      <c r="G360" s="22" t="n">
        <v>196</v>
      </c>
      <c r="H360" s="21" t="s">
        <v>67</v>
      </c>
      <c r="I360" s="22" t="n">
        <v>12</v>
      </c>
      <c r="J360" s="22" t="n">
        <v>0</v>
      </c>
      <c r="K360" s="22" t="n">
        <v>0</v>
      </c>
      <c r="L360" s="22" t="n">
        <f aca="false">G360*I360-J360+K360</f>
        <v>2352</v>
      </c>
    </row>
    <row r="361" customFormat="false" ht="18.75" hidden="false" customHeight="true" outlineLevel="0" collapsed="false">
      <c r="A361" s="17" t="n">
        <v>357</v>
      </c>
      <c r="B361" s="18" t="s">
        <v>314</v>
      </c>
      <c r="C361" s="23" t="s">
        <v>315</v>
      </c>
      <c r="D361" s="9" t="s">
        <v>38</v>
      </c>
      <c r="E361" s="9" t="s">
        <v>456</v>
      </c>
      <c r="F361" s="18" t="s">
        <v>39</v>
      </c>
      <c r="G361" s="19" t="n">
        <v>34.4</v>
      </c>
      <c r="H361" s="18" t="s">
        <v>65</v>
      </c>
      <c r="I361" s="19" t="n">
        <v>55</v>
      </c>
      <c r="J361" s="19" t="n">
        <v>0</v>
      </c>
      <c r="K361" s="19" t="n">
        <v>0</v>
      </c>
      <c r="L361" s="19" t="n">
        <f aca="false">G361*I361-J361+K361</f>
        <v>1892</v>
      </c>
    </row>
    <row r="362" customFormat="false" ht="18.75" hidden="false" customHeight="true" outlineLevel="0" collapsed="false">
      <c r="A362" s="20" t="n">
        <v>358</v>
      </c>
      <c r="B362" s="21" t="s">
        <v>314</v>
      </c>
      <c r="C362" s="24" t="s">
        <v>315</v>
      </c>
      <c r="D362" s="13" t="s">
        <v>38</v>
      </c>
      <c r="E362" s="13" t="s">
        <v>466</v>
      </c>
      <c r="F362" s="21" t="s">
        <v>39</v>
      </c>
      <c r="G362" s="22" t="n">
        <v>245.5</v>
      </c>
      <c r="H362" s="21" t="s">
        <v>65</v>
      </c>
      <c r="I362" s="22" t="n">
        <v>25</v>
      </c>
      <c r="J362" s="22" t="n">
        <v>0</v>
      </c>
      <c r="K362" s="22" t="n">
        <v>0</v>
      </c>
      <c r="L362" s="22" t="n">
        <f aca="false">G362*I362-J362+K362</f>
        <v>6137.5</v>
      </c>
    </row>
    <row r="363" customFormat="false" ht="18.75" hidden="false" customHeight="true" outlineLevel="0" collapsed="false">
      <c r="A363" s="17" t="n">
        <v>359</v>
      </c>
      <c r="B363" s="18" t="s">
        <v>314</v>
      </c>
      <c r="C363" s="23" t="s">
        <v>315</v>
      </c>
      <c r="D363" s="9" t="s">
        <v>38</v>
      </c>
      <c r="E363" s="9" t="s">
        <v>514</v>
      </c>
      <c r="F363" s="18" t="s">
        <v>39</v>
      </c>
      <c r="G363" s="19" t="n">
        <v>50</v>
      </c>
      <c r="H363" s="18" t="s">
        <v>67</v>
      </c>
      <c r="I363" s="19" t="n">
        <v>440</v>
      </c>
      <c r="J363" s="19" t="n">
        <v>0</v>
      </c>
      <c r="K363" s="19" t="n">
        <v>0</v>
      </c>
      <c r="L363" s="19" t="n">
        <f aca="false">G363*I363-J363+K363</f>
        <v>22000</v>
      </c>
    </row>
    <row r="364" customFormat="false" ht="18.75" hidden="false" customHeight="true" outlineLevel="0" collapsed="false">
      <c r="A364" s="20" t="n">
        <v>360</v>
      </c>
      <c r="B364" s="21" t="s">
        <v>314</v>
      </c>
      <c r="C364" s="24" t="s">
        <v>315</v>
      </c>
      <c r="D364" s="13" t="s">
        <v>38</v>
      </c>
      <c r="E364" s="13" t="s">
        <v>511</v>
      </c>
      <c r="F364" s="21" t="s">
        <v>39</v>
      </c>
      <c r="G364" s="22" t="n">
        <v>14</v>
      </c>
      <c r="H364" s="21" t="s">
        <v>67</v>
      </c>
      <c r="I364" s="22" t="n">
        <v>180</v>
      </c>
      <c r="J364" s="22" t="n">
        <v>0</v>
      </c>
      <c r="K364" s="22" t="n">
        <v>0</v>
      </c>
      <c r="L364" s="22" t="n">
        <f aca="false">G364*I364-J364+K364</f>
        <v>2520</v>
      </c>
    </row>
    <row r="365" customFormat="false" ht="18.75" hidden="false" customHeight="true" outlineLevel="0" collapsed="false">
      <c r="A365" s="17" t="n">
        <v>361</v>
      </c>
      <c r="B365" s="18" t="s">
        <v>314</v>
      </c>
      <c r="C365" s="23" t="s">
        <v>315</v>
      </c>
      <c r="D365" s="9" t="s">
        <v>38</v>
      </c>
      <c r="E365" s="9" t="s">
        <v>516</v>
      </c>
      <c r="F365" s="18" t="s">
        <v>39</v>
      </c>
      <c r="G365" s="19" t="n">
        <v>1</v>
      </c>
      <c r="H365" s="18" t="s">
        <v>67</v>
      </c>
      <c r="I365" s="19" t="n">
        <v>1600</v>
      </c>
      <c r="J365" s="19" t="n">
        <v>0</v>
      </c>
      <c r="K365" s="19" t="n">
        <v>0</v>
      </c>
      <c r="L365" s="19" t="n">
        <f aca="false">G365*I365-J365+K365</f>
        <v>1600</v>
      </c>
    </row>
    <row r="366" customFormat="false" ht="18.75" hidden="false" customHeight="true" outlineLevel="0" collapsed="false">
      <c r="A366" s="20" t="n">
        <v>362</v>
      </c>
      <c r="B366" s="21" t="s">
        <v>314</v>
      </c>
      <c r="C366" s="24" t="s">
        <v>315</v>
      </c>
      <c r="D366" s="13" t="s">
        <v>38</v>
      </c>
      <c r="E366" s="13" t="s">
        <v>463</v>
      </c>
      <c r="F366" s="21" t="s">
        <v>39</v>
      </c>
      <c r="G366" s="22" t="n">
        <v>22</v>
      </c>
      <c r="H366" s="21" t="s">
        <v>67</v>
      </c>
      <c r="I366" s="22" t="n">
        <v>225</v>
      </c>
      <c r="J366" s="22" t="n">
        <v>0</v>
      </c>
      <c r="K366" s="22" t="n">
        <v>0</v>
      </c>
      <c r="L366" s="22" t="n">
        <f aca="false">G366*I366-J366+K366</f>
        <v>4950</v>
      </c>
    </row>
    <row r="367" customFormat="false" ht="18.75" hidden="false" customHeight="true" outlineLevel="0" collapsed="false">
      <c r="A367" s="17" t="n">
        <v>363</v>
      </c>
      <c r="B367" s="18" t="s">
        <v>314</v>
      </c>
      <c r="C367" s="23" t="s">
        <v>315</v>
      </c>
      <c r="D367" s="9" t="s">
        <v>38</v>
      </c>
      <c r="E367" s="9" t="s">
        <v>517</v>
      </c>
      <c r="F367" s="18" t="s">
        <v>39</v>
      </c>
      <c r="G367" s="19" t="n">
        <v>21</v>
      </c>
      <c r="H367" s="18" t="s">
        <v>67</v>
      </c>
      <c r="I367" s="19" t="n">
        <v>120</v>
      </c>
      <c r="J367" s="19" t="n">
        <v>0</v>
      </c>
      <c r="K367" s="19" t="n">
        <v>0</v>
      </c>
      <c r="L367" s="19" t="n">
        <f aca="false">G367*I367-J367+K367</f>
        <v>2520</v>
      </c>
    </row>
    <row r="368" customFormat="false" ht="18.75" hidden="false" customHeight="true" outlineLevel="0" collapsed="false">
      <c r="A368" s="20" t="n">
        <v>364</v>
      </c>
      <c r="B368" s="21" t="s">
        <v>314</v>
      </c>
      <c r="C368" s="24" t="s">
        <v>315</v>
      </c>
      <c r="D368" s="13" t="s">
        <v>38</v>
      </c>
      <c r="E368" s="13" t="s">
        <v>76</v>
      </c>
      <c r="F368" s="21" t="s">
        <v>39</v>
      </c>
      <c r="G368" s="22" t="n">
        <v>30</v>
      </c>
      <c r="H368" s="21" t="s">
        <v>67</v>
      </c>
      <c r="I368" s="22" t="n">
        <v>180</v>
      </c>
      <c r="J368" s="22" t="n">
        <v>0</v>
      </c>
      <c r="K368" s="22" t="n">
        <v>270</v>
      </c>
      <c r="L368" s="22" t="n">
        <f aca="false">G368*I368-J368+K368</f>
        <v>5670</v>
      </c>
    </row>
    <row r="369" customFormat="false" ht="18.75" hidden="false" customHeight="true" outlineLevel="0" collapsed="false">
      <c r="A369" s="17" t="n">
        <v>365</v>
      </c>
      <c r="B369" s="18" t="s">
        <v>314</v>
      </c>
      <c r="C369" s="23" t="s">
        <v>315</v>
      </c>
      <c r="D369" s="9" t="s">
        <v>38</v>
      </c>
      <c r="E369" s="9" t="s">
        <v>501</v>
      </c>
      <c r="F369" s="18" t="s">
        <v>39</v>
      </c>
      <c r="G369" s="19" t="n">
        <v>550</v>
      </c>
      <c r="H369" s="18" t="s">
        <v>65</v>
      </c>
      <c r="I369" s="19" t="n">
        <v>15.5</v>
      </c>
      <c r="J369" s="19" t="n">
        <v>0</v>
      </c>
      <c r="K369" s="19" t="n">
        <v>0</v>
      </c>
      <c r="L369" s="19" t="n">
        <f aca="false">G369*I369-J369+K369</f>
        <v>8525</v>
      </c>
    </row>
    <row r="370" customFormat="false" ht="18.75" hidden="false" customHeight="true" outlineLevel="0" collapsed="false">
      <c r="A370" s="20" t="n">
        <v>366</v>
      </c>
      <c r="B370" s="21" t="s">
        <v>316</v>
      </c>
      <c r="C370" s="24" t="s">
        <v>317</v>
      </c>
      <c r="D370" s="13" t="s">
        <v>38</v>
      </c>
      <c r="E370" s="13" t="s">
        <v>75</v>
      </c>
      <c r="F370" s="21" t="s">
        <v>39</v>
      </c>
      <c r="G370" s="22" t="n">
        <v>7720.5</v>
      </c>
      <c r="H370" s="21" t="s">
        <v>65</v>
      </c>
      <c r="I370" s="22" t="n">
        <v>17.5</v>
      </c>
      <c r="J370" s="22" t="n">
        <v>0</v>
      </c>
      <c r="K370" s="22" t="n">
        <v>0</v>
      </c>
      <c r="L370" s="22" t="n">
        <f aca="false">G370*I370-J370+K370</f>
        <v>135108.75</v>
      </c>
    </row>
    <row r="371" customFormat="false" ht="18.75" hidden="false" customHeight="true" outlineLevel="0" collapsed="false">
      <c r="A371" s="17" t="n">
        <v>367</v>
      </c>
      <c r="B371" s="18" t="s">
        <v>316</v>
      </c>
      <c r="C371" s="23" t="s">
        <v>317</v>
      </c>
      <c r="D371" s="9" t="s">
        <v>38</v>
      </c>
      <c r="E371" s="9" t="s">
        <v>516</v>
      </c>
      <c r="F371" s="18" t="s">
        <v>39</v>
      </c>
      <c r="G371" s="19" t="n">
        <v>3</v>
      </c>
      <c r="H371" s="18" t="s">
        <v>67</v>
      </c>
      <c r="I371" s="19" t="n">
        <v>1600</v>
      </c>
      <c r="J371" s="19" t="n">
        <v>0</v>
      </c>
      <c r="K371" s="19" t="n">
        <v>0</v>
      </c>
      <c r="L371" s="19" t="n">
        <f aca="false">G371*I371-J371+K371</f>
        <v>4800</v>
      </c>
    </row>
    <row r="372" customFormat="false" ht="18.75" hidden="false" customHeight="true" outlineLevel="0" collapsed="false">
      <c r="A372" s="20" t="n">
        <v>368</v>
      </c>
      <c r="B372" s="21" t="s">
        <v>316</v>
      </c>
      <c r="C372" s="24" t="s">
        <v>317</v>
      </c>
      <c r="D372" s="13" t="s">
        <v>38</v>
      </c>
      <c r="E372" s="13" t="s">
        <v>76</v>
      </c>
      <c r="F372" s="21" t="s">
        <v>39</v>
      </c>
      <c r="G372" s="22" t="n">
        <v>40</v>
      </c>
      <c r="H372" s="21" t="s">
        <v>67</v>
      </c>
      <c r="I372" s="22" t="n">
        <v>180</v>
      </c>
      <c r="J372" s="22" t="n">
        <v>0</v>
      </c>
      <c r="K372" s="22" t="n">
        <v>0</v>
      </c>
      <c r="L372" s="22" t="n">
        <f aca="false">G372*I372-J372+K372</f>
        <v>7200</v>
      </c>
    </row>
    <row r="373" customFormat="false" ht="18.75" hidden="false" customHeight="true" outlineLevel="0" collapsed="false">
      <c r="A373" s="17" t="n">
        <v>369</v>
      </c>
      <c r="B373" s="18" t="s">
        <v>316</v>
      </c>
      <c r="C373" s="23" t="s">
        <v>317</v>
      </c>
      <c r="D373" s="9" t="s">
        <v>38</v>
      </c>
      <c r="E373" s="9" t="s">
        <v>505</v>
      </c>
      <c r="F373" s="18" t="s">
        <v>39</v>
      </c>
      <c r="G373" s="19" t="n">
        <v>5</v>
      </c>
      <c r="H373" s="18" t="s">
        <v>67</v>
      </c>
      <c r="I373" s="19" t="n">
        <v>510</v>
      </c>
      <c r="J373" s="19" t="n">
        <v>0</v>
      </c>
      <c r="K373" s="19" t="n">
        <v>0</v>
      </c>
      <c r="L373" s="19" t="n">
        <f aca="false">G373*I373-J373+K373</f>
        <v>2550</v>
      </c>
    </row>
    <row r="374" customFormat="false" ht="18.75" hidden="false" customHeight="true" outlineLevel="0" collapsed="false">
      <c r="A374" s="20" t="n">
        <v>370</v>
      </c>
      <c r="B374" s="21" t="s">
        <v>316</v>
      </c>
      <c r="C374" s="24" t="s">
        <v>317</v>
      </c>
      <c r="D374" s="13" t="s">
        <v>38</v>
      </c>
      <c r="E374" s="13" t="s">
        <v>473</v>
      </c>
      <c r="F374" s="21" t="s">
        <v>39</v>
      </c>
      <c r="G374" s="22" t="n">
        <v>15</v>
      </c>
      <c r="H374" s="21" t="s">
        <v>67</v>
      </c>
      <c r="I374" s="22" t="n">
        <v>225</v>
      </c>
      <c r="J374" s="22" t="n">
        <v>0</v>
      </c>
      <c r="K374" s="22" t="n">
        <v>0</v>
      </c>
      <c r="L374" s="22" t="n">
        <f aca="false">G374*I374-J374+K374</f>
        <v>3375</v>
      </c>
    </row>
    <row r="375" customFormat="false" ht="18.75" hidden="false" customHeight="true" outlineLevel="0" collapsed="false">
      <c r="A375" s="17" t="n">
        <v>371</v>
      </c>
      <c r="B375" s="18" t="s">
        <v>316</v>
      </c>
      <c r="C375" s="23" t="s">
        <v>317</v>
      </c>
      <c r="D375" s="9" t="s">
        <v>38</v>
      </c>
      <c r="E375" s="9" t="s">
        <v>72</v>
      </c>
      <c r="F375" s="18" t="s">
        <v>39</v>
      </c>
      <c r="G375" s="19" t="n">
        <v>608</v>
      </c>
      <c r="H375" s="18" t="s">
        <v>73</v>
      </c>
      <c r="I375" s="19" t="n">
        <v>22</v>
      </c>
      <c r="J375" s="19" t="n">
        <v>0</v>
      </c>
      <c r="K375" s="19" t="n">
        <v>0</v>
      </c>
      <c r="L375" s="19" t="n">
        <f aca="false">G375*I375-J375+K375</f>
        <v>13376</v>
      </c>
    </row>
    <row r="376" customFormat="false" ht="18.75" hidden="false" customHeight="true" outlineLevel="0" collapsed="false">
      <c r="A376" s="20" t="n">
        <v>372</v>
      </c>
      <c r="B376" s="21" t="s">
        <v>316</v>
      </c>
      <c r="C376" s="24" t="s">
        <v>317</v>
      </c>
      <c r="D376" s="13" t="s">
        <v>38</v>
      </c>
      <c r="E376" s="13" t="s">
        <v>500</v>
      </c>
      <c r="F376" s="21" t="s">
        <v>39</v>
      </c>
      <c r="G376" s="22" t="n">
        <v>10</v>
      </c>
      <c r="H376" s="21" t="s">
        <v>67</v>
      </c>
      <c r="I376" s="22" t="n">
        <v>400</v>
      </c>
      <c r="J376" s="22" t="n">
        <v>0</v>
      </c>
      <c r="K376" s="22" t="n">
        <v>0</v>
      </c>
      <c r="L376" s="22" t="n">
        <f aca="false">G376*I376-J376+K376</f>
        <v>4000</v>
      </c>
    </row>
    <row r="377" customFormat="false" ht="18.75" hidden="false" customHeight="true" outlineLevel="0" collapsed="false">
      <c r="A377" s="17" t="n">
        <v>373</v>
      </c>
      <c r="B377" s="18" t="s">
        <v>316</v>
      </c>
      <c r="C377" s="23" t="s">
        <v>317</v>
      </c>
      <c r="D377" s="9" t="s">
        <v>38</v>
      </c>
      <c r="E377" s="9" t="s">
        <v>501</v>
      </c>
      <c r="F377" s="18" t="s">
        <v>39</v>
      </c>
      <c r="G377" s="19" t="n">
        <v>545.5</v>
      </c>
      <c r="H377" s="18" t="s">
        <v>65</v>
      </c>
      <c r="I377" s="19" t="n">
        <v>15.5</v>
      </c>
      <c r="J377" s="19" t="n">
        <v>0</v>
      </c>
      <c r="K377" s="19" t="n">
        <v>0</v>
      </c>
      <c r="L377" s="19" t="n">
        <f aca="false">G377*I377-J377+K377</f>
        <v>8455.25</v>
      </c>
    </row>
    <row r="378" customFormat="false" ht="18.75" hidden="false" customHeight="true" outlineLevel="0" collapsed="false">
      <c r="A378" s="20" t="n">
        <v>374</v>
      </c>
      <c r="B378" s="21" t="s">
        <v>316</v>
      </c>
      <c r="C378" s="24" t="s">
        <v>317</v>
      </c>
      <c r="D378" s="13" t="s">
        <v>38</v>
      </c>
      <c r="E378" s="13" t="s">
        <v>456</v>
      </c>
      <c r="F378" s="21" t="s">
        <v>39</v>
      </c>
      <c r="G378" s="22" t="n">
        <v>34</v>
      </c>
      <c r="H378" s="21" t="s">
        <v>65</v>
      </c>
      <c r="I378" s="22" t="n">
        <v>55</v>
      </c>
      <c r="J378" s="22" t="n">
        <v>0</v>
      </c>
      <c r="K378" s="22" t="n">
        <v>0</v>
      </c>
      <c r="L378" s="22" t="n">
        <f aca="false">G378*I378-J378+K378</f>
        <v>1870</v>
      </c>
    </row>
    <row r="379" customFormat="false" ht="18.75" hidden="false" customHeight="true" outlineLevel="0" collapsed="false">
      <c r="A379" s="17" t="n">
        <v>375</v>
      </c>
      <c r="B379" s="18" t="s">
        <v>316</v>
      </c>
      <c r="C379" s="23" t="s">
        <v>317</v>
      </c>
      <c r="D379" s="9" t="s">
        <v>38</v>
      </c>
      <c r="E379" s="9" t="s">
        <v>518</v>
      </c>
      <c r="F379" s="18" t="s">
        <v>39</v>
      </c>
      <c r="G379" s="19" t="n">
        <v>2</v>
      </c>
      <c r="H379" s="18" t="s">
        <v>67</v>
      </c>
      <c r="I379" s="19" t="n">
        <v>1300</v>
      </c>
      <c r="J379" s="19" t="n">
        <v>0</v>
      </c>
      <c r="K379" s="19" t="n">
        <v>0</v>
      </c>
      <c r="L379" s="19" t="n">
        <f aca="false">G379*I379-J379+K379</f>
        <v>2600</v>
      </c>
    </row>
    <row r="380" customFormat="false" ht="18.75" hidden="false" customHeight="true" outlineLevel="0" collapsed="false">
      <c r="A380" s="20" t="n">
        <v>376</v>
      </c>
      <c r="B380" s="21" t="s">
        <v>318</v>
      </c>
      <c r="C380" s="24" t="s">
        <v>317</v>
      </c>
      <c r="D380" s="13" t="s">
        <v>38</v>
      </c>
      <c r="E380" s="13" t="s">
        <v>66</v>
      </c>
      <c r="F380" s="21" t="s">
        <v>39</v>
      </c>
      <c r="G380" s="22" t="n">
        <v>200</v>
      </c>
      <c r="H380" s="21" t="s">
        <v>67</v>
      </c>
      <c r="I380" s="22" t="n">
        <v>260</v>
      </c>
      <c r="J380" s="22" t="n">
        <v>0</v>
      </c>
      <c r="K380" s="22" t="n">
        <v>0</v>
      </c>
      <c r="L380" s="22" t="n">
        <f aca="false">G380*I380-J380+K380</f>
        <v>52000</v>
      </c>
    </row>
    <row r="381" customFormat="false" ht="18.75" hidden="false" customHeight="true" outlineLevel="0" collapsed="false">
      <c r="A381" s="17" t="n">
        <v>377</v>
      </c>
      <c r="B381" s="18" t="s">
        <v>319</v>
      </c>
      <c r="C381" s="23" t="s">
        <v>320</v>
      </c>
      <c r="D381" s="9" t="s">
        <v>42</v>
      </c>
      <c r="E381" s="9" t="s">
        <v>66</v>
      </c>
      <c r="F381" s="18" t="s">
        <v>39</v>
      </c>
      <c r="G381" s="19" t="n">
        <v>250</v>
      </c>
      <c r="H381" s="18" t="s">
        <v>67</v>
      </c>
      <c r="I381" s="19" t="n">
        <v>242</v>
      </c>
      <c r="J381" s="19" t="n">
        <v>0</v>
      </c>
      <c r="K381" s="19" t="n">
        <v>0</v>
      </c>
      <c r="L381" s="19" t="n">
        <f aca="false">G381*I381-J381+K381</f>
        <v>60500</v>
      </c>
    </row>
    <row r="382" customFormat="false" ht="18.75" hidden="false" customHeight="true" outlineLevel="0" collapsed="false">
      <c r="A382" s="20" t="n">
        <v>378</v>
      </c>
      <c r="B382" s="21" t="s">
        <v>321</v>
      </c>
      <c r="C382" s="24" t="s">
        <v>320</v>
      </c>
      <c r="D382" s="13" t="s">
        <v>38</v>
      </c>
      <c r="E382" s="13" t="s">
        <v>69</v>
      </c>
      <c r="F382" s="21" t="s">
        <v>39</v>
      </c>
      <c r="G382" s="22" t="n">
        <v>4</v>
      </c>
      <c r="H382" s="21" t="s">
        <v>67</v>
      </c>
      <c r="I382" s="22" t="n">
        <v>5100</v>
      </c>
      <c r="J382" s="22" t="n">
        <v>0</v>
      </c>
      <c r="K382" s="22" t="n">
        <v>0</v>
      </c>
      <c r="L382" s="22" t="n">
        <f aca="false">G382*I382-J382+K382</f>
        <v>20400</v>
      </c>
    </row>
    <row r="383" customFormat="false" ht="18.75" hidden="false" customHeight="true" outlineLevel="0" collapsed="false">
      <c r="A383" s="17" t="n">
        <v>379</v>
      </c>
      <c r="B383" s="18" t="s">
        <v>321</v>
      </c>
      <c r="C383" s="23" t="s">
        <v>320</v>
      </c>
      <c r="D383" s="9" t="s">
        <v>38</v>
      </c>
      <c r="E383" s="9" t="s">
        <v>514</v>
      </c>
      <c r="F383" s="18" t="s">
        <v>39</v>
      </c>
      <c r="G383" s="19" t="n">
        <v>50</v>
      </c>
      <c r="H383" s="18" t="s">
        <v>67</v>
      </c>
      <c r="I383" s="19" t="n">
        <v>440</v>
      </c>
      <c r="J383" s="19" t="n">
        <v>0</v>
      </c>
      <c r="K383" s="19" t="n">
        <v>0</v>
      </c>
      <c r="L383" s="19" t="n">
        <f aca="false">G383*I383-J383+K383</f>
        <v>22000</v>
      </c>
    </row>
    <row r="384" customFormat="false" ht="18.75" hidden="false" customHeight="true" outlineLevel="0" collapsed="false">
      <c r="A384" s="20" t="n">
        <v>380</v>
      </c>
      <c r="B384" s="21" t="s">
        <v>321</v>
      </c>
      <c r="C384" s="24" t="s">
        <v>320</v>
      </c>
      <c r="D384" s="13" t="s">
        <v>38</v>
      </c>
      <c r="E384" s="13" t="s">
        <v>76</v>
      </c>
      <c r="F384" s="21" t="s">
        <v>39</v>
      </c>
      <c r="G384" s="22" t="n">
        <v>120</v>
      </c>
      <c r="H384" s="21" t="s">
        <v>67</v>
      </c>
      <c r="I384" s="22" t="n">
        <v>190</v>
      </c>
      <c r="J384" s="22" t="n">
        <v>0</v>
      </c>
      <c r="K384" s="22" t="n">
        <v>0</v>
      </c>
      <c r="L384" s="22" t="n">
        <f aca="false">G384*I384-J384+K384</f>
        <v>22800</v>
      </c>
    </row>
    <row r="385" customFormat="false" ht="18.75" hidden="false" customHeight="true" outlineLevel="0" collapsed="false">
      <c r="A385" s="17" t="n">
        <v>381</v>
      </c>
      <c r="B385" s="18" t="s">
        <v>321</v>
      </c>
      <c r="C385" s="23" t="s">
        <v>320</v>
      </c>
      <c r="D385" s="9" t="s">
        <v>38</v>
      </c>
      <c r="E385" s="9" t="s">
        <v>75</v>
      </c>
      <c r="F385" s="18" t="s">
        <v>39</v>
      </c>
      <c r="G385" s="19" t="n">
        <v>1146.25</v>
      </c>
      <c r="H385" s="18" t="s">
        <v>65</v>
      </c>
      <c r="I385" s="19" t="n">
        <v>17.5</v>
      </c>
      <c r="J385" s="19" t="n">
        <v>0</v>
      </c>
      <c r="K385" s="19" t="n">
        <v>0</v>
      </c>
      <c r="L385" s="19" t="n">
        <f aca="false">G385*I385-J385+K385</f>
        <v>20059.375</v>
      </c>
    </row>
    <row r="386" customFormat="false" ht="18.75" hidden="false" customHeight="true" outlineLevel="0" collapsed="false">
      <c r="A386" s="20" t="n">
        <v>382</v>
      </c>
      <c r="B386" s="21" t="s">
        <v>321</v>
      </c>
      <c r="C386" s="24" t="s">
        <v>320</v>
      </c>
      <c r="D386" s="13" t="s">
        <v>38</v>
      </c>
      <c r="E386" s="13" t="s">
        <v>66</v>
      </c>
      <c r="F386" s="21" t="s">
        <v>39</v>
      </c>
      <c r="G386" s="22" t="n">
        <v>50</v>
      </c>
      <c r="H386" s="21" t="s">
        <v>67</v>
      </c>
      <c r="I386" s="22" t="n">
        <v>242</v>
      </c>
      <c r="J386" s="22" t="n">
        <v>0</v>
      </c>
      <c r="K386" s="22" t="n">
        <v>0</v>
      </c>
      <c r="L386" s="22" t="n">
        <f aca="false">G386*I386-J386+K386</f>
        <v>12100</v>
      </c>
    </row>
    <row r="387" customFormat="false" ht="18.75" hidden="false" customHeight="true" outlineLevel="0" collapsed="false">
      <c r="A387" s="17" t="n">
        <v>383</v>
      </c>
      <c r="B387" s="18" t="s">
        <v>322</v>
      </c>
      <c r="C387" s="23" t="s">
        <v>323</v>
      </c>
      <c r="D387" s="9" t="s">
        <v>38</v>
      </c>
      <c r="E387" s="9" t="s">
        <v>74</v>
      </c>
      <c r="F387" s="18" t="s">
        <v>39</v>
      </c>
      <c r="G387" s="19" t="n">
        <v>50</v>
      </c>
      <c r="H387" s="18" t="s">
        <v>67</v>
      </c>
      <c r="I387" s="19" t="n">
        <v>780</v>
      </c>
      <c r="J387" s="19" t="n">
        <v>0</v>
      </c>
      <c r="K387" s="19" t="n">
        <v>0</v>
      </c>
      <c r="L387" s="19" t="n">
        <f aca="false">G387*I387-J387+K387</f>
        <v>39000</v>
      </c>
    </row>
    <row r="388" customFormat="false" ht="18.75" hidden="false" customHeight="true" outlineLevel="0" collapsed="false">
      <c r="A388" s="20" t="n">
        <v>384</v>
      </c>
      <c r="B388" s="21" t="s">
        <v>322</v>
      </c>
      <c r="C388" s="24" t="s">
        <v>323</v>
      </c>
      <c r="D388" s="13" t="s">
        <v>38</v>
      </c>
      <c r="E388" s="13" t="s">
        <v>477</v>
      </c>
      <c r="F388" s="21" t="s">
        <v>39</v>
      </c>
      <c r="G388" s="22" t="n">
        <v>3</v>
      </c>
      <c r="H388" s="21" t="s">
        <v>67</v>
      </c>
      <c r="I388" s="22" t="n">
        <v>2300</v>
      </c>
      <c r="J388" s="22" t="n">
        <v>0</v>
      </c>
      <c r="K388" s="22" t="n">
        <v>0</v>
      </c>
      <c r="L388" s="22" t="n">
        <f aca="false">G388*I388-J388+K388</f>
        <v>6900</v>
      </c>
    </row>
    <row r="389" customFormat="false" ht="18.75" hidden="false" customHeight="true" outlineLevel="0" collapsed="false">
      <c r="A389" s="17" t="n">
        <v>385</v>
      </c>
      <c r="B389" s="18" t="s">
        <v>322</v>
      </c>
      <c r="C389" s="23" t="s">
        <v>323</v>
      </c>
      <c r="D389" s="9" t="s">
        <v>38</v>
      </c>
      <c r="E389" s="9" t="s">
        <v>461</v>
      </c>
      <c r="F389" s="18" t="s">
        <v>39</v>
      </c>
      <c r="G389" s="19" t="n">
        <v>12</v>
      </c>
      <c r="H389" s="18" t="s">
        <v>67</v>
      </c>
      <c r="I389" s="19" t="n">
        <v>800</v>
      </c>
      <c r="J389" s="19" t="n">
        <v>0</v>
      </c>
      <c r="K389" s="19" t="n">
        <v>0</v>
      </c>
      <c r="L389" s="19" t="n">
        <f aca="false">G389*I389-J389+K389</f>
        <v>9600</v>
      </c>
    </row>
    <row r="390" customFormat="false" ht="18.75" hidden="false" customHeight="true" outlineLevel="0" collapsed="false">
      <c r="A390" s="20" t="n">
        <v>386</v>
      </c>
      <c r="B390" s="21" t="s">
        <v>322</v>
      </c>
      <c r="C390" s="24" t="s">
        <v>323</v>
      </c>
      <c r="D390" s="13" t="s">
        <v>38</v>
      </c>
      <c r="E390" s="13" t="s">
        <v>75</v>
      </c>
      <c r="F390" s="21" t="s">
        <v>39</v>
      </c>
      <c r="G390" s="22" t="n">
        <v>634</v>
      </c>
      <c r="H390" s="21" t="s">
        <v>65</v>
      </c>
      <c r="I390" s="22" t="n">
        <v>17.5</v>
      </c>
      <c r="J390" s="22" t="n">
        <v>0</v>
      </c>
      <c r="K390" s="22" t="n">
        <v>0</v>
      </c>
      <c r="L390" s="22" t="n">
        <f aca="false">G390*I390-J390+K390</f>
        <v>11095</v>
      </c>
    </row>
    <row r="391" customFormat="false" ht="18.75" hidden="false" customHeight="true" outlineLevel="0" collapsed="false">
      <c r="A391" s="17" t="n">
        <v>387</v>
      </c>
      <c r="B391" s="18" t="s">
        <v>322</v>
      </c>
      <c r="C391" s="23" t="s">
        <v>323</v>
      </c>
      <c r="D391" s="9" t="s">
        <v>38</v>
      </c>
      <c r="E391" s="9" t="s">
        <v>449</v>
      </c>
      <c r="F391" s="18" t="s">
        <v>39</v>
      </c>
      <c r="G391" s="19" t="n">
        <v>300</v>
      </c>
      <c r="H391" s="18" t="s">
        <v>73</v>
      </c>
      <c r="I391" s="19" t="n">
        <v>11</v>
      </c>
      <c r="J391" s="19" t="n">
        <v>0</v>
      </c>
      <c r="K391" s="19" t="n">
        <v>0</v>
      </c>
      <c r="L391" s="19" t="n">
        <f aca="false">G391*I391-J391+K391</f>
        <v>3300</v>
      </c>
    </row>
    <row r="392" customFormat="false" ht="18.75" hidden="false" customHeight="true" outlineLevel="0" collapsed="false">
      <c r="A392" s="20" t="n">
        <v>388</v>
      </c>
      <c r="B392" s="21" t="s">
        <v>322</v>
      </c>
      <c r="C392" s="24" t="s">
        <v>323</v>
      </c>
      <c r="D392" s="13" t="s">
        <v>38</v>
      </c>
      <c r="E392" s="13" t="s">
        <v>64</v>
      </c>
      <c r="F392" s="21" t="s">
        <v>39</v>
      </c>
      <c r="G392" s="22" t="n">
        <v>3869.75</v>
      </c>
      <c r="H392" s="21" t="s">
        <v>65</v>
      </c>
      <c r="I392" s="22" t="n">
        <v>16</v>
      </c>
      <c r="J392" s="22" t="n">
        <v>0</v>
      </c>
      <c r="K392" s="22" t="n">
        <v>0</v>
      </c>
      <c r="L392" s="22" t="n">
        <f aca="false">G392*I392-J392+K392</f>
        <v>61916</v>
      </c>
    </row>
    <row r="393" customFormat="false" ht="18.75" hidden="false" customHeight="true" outlineLevel="0" collapsed="false">
      <c r="A393" s="17" t="n">
        <v>389</v>
      </c>
      <c r="B393" s="18" t="s">
        <v>322</v>
      </c>
      <c r="C393" s="23" t="s">
        <v>323</v>
      </c>
      <c r="D393" s="9" t="s">
        <v>38</v>
      </c>
      <c r="E393" s="9" t="s">
        <v>69</v>
      </c>
      <c r="F393" s="18" t="s">
        <v>39</v>
      </c>
      <c r="G393" s="19" t="n">
        <v>5</v>
      </c>
      <c r="H393" s="18" t="s">
        <v>67</v>
      </c>
      <c r="I393" s="19" t="n">
        <v>5100</v>
      </c>
      <c r="J393" s="19" t="n">
        <v>0</v>
      </c>
      <c r="K393" s="19" t="n">
        <v>0</v>
      </c>
      <c r="L393" s="19" t="n">
        <f aca="false">G393*I393-J393+K393</f>
        <v>25500</v>
      </c>
    </row>
    <row r="394" customFormat="false" ht="18.75" hidden="false" customHeight="true" outlineLevel="0" collapsed="false">
      <c r="A394" s="20" t="n">
        <v>390</v>
      </c>
      <c r="B394" s="21" t="s">
        <v>322</v>
      </c>
      <c r="C394" s="24" t="s">
        <v>323</v>
      </c>
      <c r="D394" s="13" t="s">
        <v>38</v>
      </c>
      <c r="E394" s="13" t="s">
        <v>71</v>
      </c>
      <c r="F394" s="21" t="s">
        <v>39</v>
      </c>
      <c r="G394" s="22" t="n">
        <v>60</v>
      </c>
      <c r="H394" s="21" t="s">
        <v>67</v>
      </c>
      <c r="I394" s="22" t="n">
        <v>1650</v>
      </c>
      <c r="J394" s="22" t="n">
        <v>0</v>
      </c>
      <c r="K394" s="22" t="n">
        <v>0</v>
      </c>
      <c r="L394" s="22" t="n">
        <f aca="false">G394*I394-J394+K394</f>
        <v>99000</v>
      </c>
    </row>
    <row r="395" customFormat="false" ht="18.75" hidden="false" customHeight="true" outlineLevel="0" collapsed="false">
      <c r="A395" s="17" t="n">
        <v>391</v>
      </c>
      <c r="B395" s="18" t="s">
        <v>322</v>
      </c>
      <c r="C395" s="23" t="s">
        <v>323</v>
      </c>
      <c r="D395" s="9" t="s">
        <v>38</v>
      </c>
      <c r="E395" s="9" t="s">
        <v>66</v>
      </c>
      <c r="F395" s="18" t="s">
        <v>39</v>
      </c>
      <c r="G395" s="19" t="n">
        <v>1000</v>
      </c>
      <c r="H395" s="18" t="s">
        <v>67</v>
      </c>
      <c r="I395" s="19" t="n">
        <v>245</v>
      </c>
      <c r="J395" s="19" t="n">
        <v>0</v>
      </c>
      <c r="K395" s="19" t="n">
        <v>0</v>
      </c>
      <c r="L395" s="19" t="n">
        <f aca="false">G395*I395-J395+K395</f>
        <v>245000</v>
      </c>
    </row>
    <row r="396" customFormat="false" ht="18.75" hidden="false" customHeight="true" outlineLevel="0" collapsed="false">
      <c r="A396" s="20" t="n">
        <v>392</v>
      </c>
      <c r="B396" s="21" t="s">
        <v>324</v>
      </c>
      <c r="C396" s="24" t="s">
        <v>325</v>
      </c>
      <c r="D396" s="13" t="s">
        <v>46</v>
      </c>
      <c r="E396" s="13" t="s">
        <v>64</v>
      </c>
      <c r="F396" s="21" t="s">
        <v>39</v>
      </c>
      <c r="G396" s="22" t="n">
        <v>2854.5</v>
      </c>
      <c r="H396" s="21" t="s">
        <v>65</v>
      </c>
      <c r="I396" s="22" t="n">
        <v>16</v>
      </c>
      <c r="J396" s="22" t="n">
        <v>0</v>
      </c>
      <c r="K396" s="22" t="n">
        <v>0</v>
      </c>
      <c r="L396" s="22" t="n">
        <f aca="false">G396*I396-J396+K396</f>
        <v>45672</v>
      </c>
    </row>
    <row r="397" customFormat="false" ht="18.75" hidden="false" customHeight="true" outlineLevel="0" collapsed="false">
      <c r="A397" s="17" t="n">
        <v>393</v>
      </c>
      <c r="B397" s="18" t="s">
        <v>324</v>
      </c>
      <c r="C397" s="23" t="s">
        <v>325</v>
      </c>
      <c r="D397" s="9" t="s">
        <v>46</v>
      </c>
      <c r="E397" s="9" t="s">
        <v>453</v>
      </c>
      <c r="F397" s="18" t="s">
        <v>39</v>
      </c>
      <c r="G397" s="19" t="n">
        <v>6</v>
      </c>
      <c r="H397" s="18"/>
      <c r="I397" s="19" t="n">
        <v>1700</v>
      </c>
      <c r="J397" s="19" t="n">
        <v>0</v>
      </c>
      <c r="K397" s="19" t="n">
        <v>0</v>
      </c>
      <c r="L397" s="19" t="n">
        <f aca="false">G397*I397-J397+K397</f>
        <v>10200</v>
      </c>
    </row>
    <row r="398" customFormat="false" ht="18.75" hidden="false" customHeight="true" outlineLevel="0" collapsed="false">
      <c r="A398" s="20" t="n">
        <v>394</v>
      </c>
      <c r="B398" s="21" t="s">
        <v>324</v>
      </c>
      <c r="C398" s="24" t="s">
        <v>325</v>
      </c>
      <c r="D398" s="13" t="s">
        <v>46</v>
      </c>
      <c r="E398" s="13" t="s">
        <v>459</v>
      </c>
      <c r="F398" s="21" t="s">
        <v>39</v>
      </c>
      <c r="G398" s="22" t="n">
        <v>142</v>
      </c>
      <c r="H398" s="21" t="s">
        <v>65</v>
      </c>
      <c r="I398" s="22" t="n">
        <v>16</v>
      </c>
      <c r="J398" s="22" t="n">
        <v>0</v>
      </c>
      <c r="K398" s="22" t="n">
        <v>0</v>
      </c>
      <c r="L398" s="22" t="n">
        <f aca="false">G398*I398-J398+K398</f>
        <v>2272</v>
      </c>
    </row>
    <row r="399" customFormat="false" ht="18.75" hidden="false" customHeight="true" outlineLevel="0" collapsed="false">
      <c r="A399" s="17" t="n">
        <v>395</v>
      </c>
      <c r="B399" s="18" t="s">
        <v>326</v>
      </c>
      <c r="C399" s="23" t="s">
        <v>327</v>
      </c>
      <c r="D399" s="9" t="s">
        <v>42</v>
      </c>
      <c r="E399" s="9" t="s">
        <v>69</v>
      </c>
      <c r="F399" s="18" t="s">
        <v>39</v>
      </c>
      <c r="G399" s="19" t="n">
        <v>5</v>
      </c>
      <c r="H399" s="18" t="s">
        <v>67</v>
      </c>
      <c r="I399" s="19" t="n">
        <v>5000</v>
      </c>
      <c r="J399" s="19" t="n">
        <v>0</v>
      </c>
      <c r="K399" s="19" t="n">
        <v>0</v>
      </c>
      <c r="L399" s="19" t="n">
        <f aca="false">G399*I399-J399+K399</f>
        <v>25000</v>
      </c>
    </row>
    <row r="400" customFormat="false" ht="18.75" hidden="false" customHeight="true" outlineLevel="0" collapsed="false">
      <c r="A400" s="20" t="n">
        <v>396</v>
      </c>
      <c r="B400" s="21" t="s">
        <v>326</v>
      </c>
      <c r="C400" s="24" t="s">
        <v>327</v>
      </c>
      <c r="D400" s="13" t="s">
        <v>42</v>
      </c>
      <c r="E400" s="13" t="s">
        <v>76</v>
      </c>
      <c r="F400" s="21" t="s">
        <v>39</v>
      </c>
      <c r="G400" s="22" t="n">
        <v>60</v>
      </c>
      <c r="H400" s="21" t="s">
        <v>67</v>
      </c>
      <c r="I400" s="22" t="n">
        <v>190</v>
      </c>
      <c r="J400" s="22" t="n">
        <v>0</v>
      </c>
      <c r="K400" s="22" t="n">
        <v>0</v>
      </c>
      <c r="L400" s="22" t="n">
        <f aca="false">G400*I400-J400+K400</f>
        <v>11400</v>
      </c>
    </row>
    <row r="401" customFormat="false" ht="18.75" hidden="false" customHeight="true" outlineLevel="0" collapsed="false">
      <c r="A401" s="17" t="n">
        <v>397</v>
      </c>
      <c r="B401" s="18" t="s">
        <v>326</v>
      </c>
      <c r="C401" s="23" t="s">
        <v>327</v>
      </c>
      <c r="D401" s="9" t="s">
        <v>42</v>
      </c>
      <c r="E401" s="9" t="s">
        <v>456</v>
      </c>
      <c r="F401" s="18" t="s">
        <v>39</v>
      </c>
      <c r="G401" s="19" t="n">
        <v>105.4</v>
      </c>
      <c r="H401" s="18" t="s">
        <v>65</v>
      </c>
      <c r="I401" s="19" t="n">
        <v>55</v>
      </c>
      <c r="J401" s="19" t="n">
        <v>0</v>
      </c>
      <c r="K401" s="19" t="n">
        <v>0</v>
      </c>
      <c r="L401" s="19" t="n">
        <f aca="false">G401*I401-J401+K401</f>
        <v>5797</v>
      </c>
    </row>
    <row r="402" customFormat="false" ht="18.75" hidden="false" customHeight="true" outlineLevel="0" collapsed="false">
      <c r="A402" s="20" t="n">
        <v>398</v>
      </c>
      <c r="B402" s="21" t="s">
        <v>328</v>
      </c>
      <c r="C402" s="24" t="s">
        <v>329</v>
      </c>
      <c r="D402" s="13" t="s">
        <v>38</v>
      </c>
      <c r="E402" s="13" t="s">
        <v>64</v>
      </c>
      <c r="F402" s="21" t="s">
        <v>39</v>
      </c>
      <c r="G402" s="22" t="n">
        <v>6711.75</v>
      </c>
      <c r="H402" s="21" t="s">
        <v>65</v>
      </c>
      <c r="I402" s="22" t="n">
        <v>16</v>
      </c>
      <c r="J402" s="22" t="n">
        <v>0</v>
      </c>
      <c r="K402" s="22" t="n">
        <v>0</v>
      </c>
      <c r="L402" s="22" t="n">
        <f aca="false">G402*I402-J402+K402</f>
        <v>107388</v>
      </c>
    </row>
    <row r="403" customFormat="false" ht="18.75" hidden="false" customHeight="true" outlineLevel="0" collapsed="false">
      <c r="A403" s="17" t="n">
        <v>399</v>
      </c>
      <c r="B403" s="18" t="s">
        <v>328</v>
      </c>
      <c r="C403" s="23" t="s">
        <v>329</v>
      </c>
      <c r="D403" s="9" t="s">
        <v>38</v>
      </c>
      <c r="E403" s="9" t="s">
        <v>453</v>
      </c>
      <c r="F403" s="18" t="s">
        <v>39</v>
      </c>
      <c r="G403" s="19" t="n">
        <v>4</v>
      </c>
      <c r="H403" s="18"/>
      <c r="I403" s="19" t="n">
        <v>1600</v>
      </c>
      <c r="J403" s="19" t="n">
        <v>0</v>
      </c>
      <c r="K403" s="19" t="n">
        <v>0</v>
      </c>
      <c r="L403" s="19" t="n">
        <f aca="false">G403*I403-J403+K403</f>
        <v>6400</v>
      </c>
    </row>
    <row r="404" customFormat="false" ht="18.75" hidden="false" customHeight="true" outlineLevel="0" collapsed="false">
      <c r="A404" s="20" t="n">
        <v>400</v>
      </c>
      <c r="B404" s="21" t="s">
        <v>330</v>
      </c>
      <c r="C404" s="24" t="s">
        <v>331</v>
      </c>
      <c r="D404" s="13" t="s">
        <v>38</v>
      </c>
      <c r="E404" s="13" t="s">
        <v>471</v>
      </c>
      <c r="F404" s="21" t="s">
        <v>39</v>
      </c>
      <c r="G404" s="22" t="n">
        <v>1</v>
      </c>
      <c r="H404" s="21" t="s">
        <v>67</v>
      </c>
      <c r="I404" s="22" t="n">
        <v>7800</v>
      </c>
      <c r="J404" s="22" t="n">
        <v>0</v>
      </c>
      <c r="K404" s="22" t="n">
        <v>0</v>
      </c>
      <c r="L404" s="22" t="n">
        <f aca="false">G404*I404-J404+K404</f>
        <v>7800</v>
      </c>
    </row>
    <row r="405" customFormat="false" ht="18.75" hidden="false" customHeight="true" outlineLevel="0" collapsed="false">
      <c r="A405" s="17" t="n">
        <v>401</v>
      </c>
      <c r="B405" s="18" t="s">
        <v>330</v>
      </c>
      <c r="C405" s="23" t="s">
        <v>331</v>
      </c>
      <c r="D405" s="9" t="s">
        <v>38</v>
      </c>
      <c r="E405" s="9" t="s">
        <v>461</v>
      </c>
      <c r="F405" s="18" t="s">
        <v>39</v>
      </c>
      <c r="G405" s="19" t="n">
        <v>12</v>
      </c>
      <c r="H405" s="18" t="s">
        <v>67</v>
      </c>
      <c r="I405" s="19" t="n">
        <v>800</v>
      </c>
      <c r="J405" s="19" t="n">
        <v>0</v>
      </c>
      <c r="K405" s="19" t="n">
        <v>0</v>
      </c>
      <c r="L405" s="19" t="n">
        <f aca="false">G405*I405-J405+K405</f>
        <v>9600</v>
      </c>
    </row>
    <row r="406" customFormat="false" ht="18.75" hidden="false" customHeight="true" outlineLevel="0" collapsed="false">
      <c r="A406" s="20" t="n">
        <v>402</v>
      </c>
      <c r="B406" s="21" t="s">
        <v>330</v>
      </c>
      <c r="C406" s="24" t="s">
        <v>331</v>
      </c>
      <c r="D406" s="13" t="s">
        <v>38</v>
      </c>
      <c r="E406" s="13" t="s">
        <v>492</v>
      </c>
      <c r="F406" s="21" t="s">
        <v>39</v>
      </c>
      <c r="G406" s="22" t="n">
        <v>6</v>
      </c>
      <c r="H406" s="21" t="s">
        <v>67</v>
      </c>
      <c r="I406" s="22" t="n">
        <v>1350</v>
      </c>
      <c r="J406" s="22" t="n">
        <v>0</v>
      </c>
      <c r="K406" s="22" t="n">
        <v>0</v>
      </c>
      <c r="L406" s="22" t="n">
        <f aca="false">G406*I406-J406+K406</f>
        <v>8100</v>
      </c>
    </row>
    <row r="407" customFormat="false" ht="18.75" hidden="false" customHeight="true" outlineLevel="0" collapsed="false">
      <c r="A407" s="17" t="n">
        <v>403</v>
      </c>
      <c r="B407" s="18" t="s">
        <v>330</v>
      </c>
      <c r="C407" s="23" t="s">
        <v>331</v>
      </c>
      <c r="D407" s="9" t="s">
        <v>38</v>
      </c>
      <c r="E407" s="9" t="s">
        <v>490</v>
      </c>
      <c r="F407" s="18" t="s">
        <v>39</v>
      </c>
      <c r="G407" s="19" t="n">
        <v>2</v>
      </c>
      <c r="H407" s="18" t="s">
        <v>67</v>
      </c>
      <c r="I407" s="19" t="n">
        <v>1850</v>
      </c>
      <c r="J407" s="19" t="n">
        <v>0</v>
      </c>
      <c r="K407" s="19" t="n">
        <v>0</v>
      </c>
      <c r="L407" s="19" t="n">
        <f aca="false">G407*I407-J407+K407</f>
        <v>3700</v>
      </c>
    </row>
    <row r="408" customFormat="false" ht="18.75" hidden="false" customHeight="true" outlineLevel="0" collapsed="false">
      <c r="A408" s="20" t="n">
        <v>404</v>
      </c>
      <c r="B408" s="21" t="s">
        <v>330</v>
      </c>
      <c r="C408" s="24" t="s">
        <v>331</v>
      </c>
      <c r="D408" s="13" t="s">
        <v>38</v>
      </c>
      <c r="E408" s="13" t="s">
        <v>507</v>
      </c>
      <c r="F408" s="21" t="s">
        <v>39</v>
      </c>
      <c r="G408" s="22" t="n">
        <v>2</v>
      </c>
      <c r="H408" s="21" t="s">
        <v>67</v>
      </c>
      <c r="I408" s="22" t="n">
        <v>2150</v>
      </c>
      <c r="J408" s="22" t="n">
        <v>0</v>
      </c>
      <c r="K408" s="22" t="n">
        <v>0</v>
      </c>
      <c r="L408" s="22" t="n">
        <f aca="false">G408*I408-J408+K408</f>
        <v>4300</v>
      </c>
    </row>
    <row r="409" customFormat="false" ht="18.75" hidden="false" customHeight="true" outlineLevel="0" collapsed="false">
      <c r="A409" s="17" t="n">
        <v>405</v>
      </c>
      <c r="B409" s="18" t="s">
        <v>330</v>
      </c>
      <c r="C409" s="23" t="s">
        <v>331</v>
      </c>
      <c r="D409" s="9" t="s">
        <v>38</v>
      </c>
      <c r="E409" s="9" t="s">
        <v>508</v>
      </c>
      <c r="F409" s="18" t="s">
        <v>39</v>
      </c>
      <c r="G409" s="19" t="n">
        <v>24</v>
      </c>
      <c r="H409" s="18" t="s">
        <v>67</v>
      </c>
      <c r="I409" s="19" t="n">
        <v>550</v>
      </c>
      <c r="J409" s="19" t="n">
        <v>0</v>
      </c>
      <c r="K409" s="19" t="n">
        <v>0</v>
      </c>
      <c r="L409" s="19" t="n">
        <f aca="false">G409*I409-J409+K409</f>
        <v>13200</v>
      </c>
    </row>
    <row r="410" customFormat="false" ht="18.75" hidden="false" customHeight="true" outlineLevel="0" collapsed="false">
      <c r="A410" s="20" t="n">
        <v>406</v>
      </c>
      <c r="B410" s="21" t="s">
        <v>330</v>
      </c>
      <c r="C410" s="24" t="s">
        <v>331</v>
      </c>
      <c r="D410" s="13" t="s">
        <v>38</v>
      </c>
      <c r="E410" s="13" t="s">
        <v>508</v>
      </c>
      <c r="F410" s="21" t="s">
        <v>39</v>
      </c>
      <c r="G410" s="22" t="n">
        <v>30</v>
      </c>
      <c r="H410" s="21" t="s">
        <v>67</v>
      </c>
      <c r="I410" s="22" t="n">
        <v>600</v>
      </c>
      <c r="J410" s="22" t="n">
        <v>0</v>
      </c>
      <c r="K410" s="22" t="n">
        <v>0</v>
      </c>
      <c r="L410" s="22" t="n">
        <f aca="false">G410*I410-J410+K410</f>
        <v>18000</v>
      </c>
    </row>
    <row r="411" customFormat="false" ht="18.75" hidden="false" customHeight="true" outlineLevel="0" collapsed="false">
      <c r="A411" s="17" t="n">
        <v>407</v>
      </c>
      <c r="B411" s="18" t="s">
        <v>330</v>
      </c>
      <c r="C411" s="23" t="s">
        <v>331</v>
      </c>
      <c r="D411" s="9" t="s">
        <v>38</v>
      </c>
      <c r="E411" s="9" t="s">
        <v>457</v>
      </c>
      <c r="F411" s="18" t="s">
        <v>39</v>
      </c>
      <c r="G411" s="19" t="n">
        <v>1</v>
      </c>
      <c r="H411" s="18" t="s">
        <v>67</v>
      </c>
      <c r="I411" s="19" t="n">
        <v>4100</v>
      </c>
      <c r="J411" s="19" t="n">
        <v>0</v>
      </c>
      <c r="K411" s="19" t="n">
        <v>0</v>
      </c>
      <c r="L411" s="19" t="n">
        <f aca="false">G411*I411-J411+K411</f>
        <v>4100</v>
      </c>
    </row>
    <row r="412" customFormat="false" ht="18.75" hidden="false" customHeight="true" outlineLevel="0" collapsed="false">
      <c r="A412" s="20" t="n">
        <v>408</v>
      </c>
      <c r="B412" s="21" t="s">
        <v>330</v>
      </c>
      <c r="C412" s="24" t="s">
        <v>331</v>
      </c>
      <c r="D412" s="13" t="s">
        <v>38</v>
      </c>
      <c r="E412" s="13" t="s">
        <v>457</v>
      </c>
      <c r="F412" s="21" t="s">
        <v>39</v>
      </c>
      <c r="G412" s="22" t="n">
        <v>1</v>
      </c>
      <c r="H412" s="21" t="s">
        <v>67</v>
      </c>
      <c r="I412" s="22" t="n">
        <v>5900</v>
      </c>
      <c r="J412" s="22" t="n">
        <v>0</v>
      </c>
      <c r="K412" s="22" t="n">
        <v>0</v>
      </c>
      <c r="L412" s="22" t="n">
        <f aca="false">G412*I412-J412+K412</f>
        <v>5900</v>
      </c>
    </row>
    <row r="413" customFormat="false" ht="18.75" hidden="false" customHeight="true" outlineLevel="0" collapsed="false">
      <c r="A413" s="17" t="n">
        <v>409</v>
      </c>
      <c r="B413" s="18" t="s">
        <v>330</v>
      </c>
      <c r="C413" s="23" t="s">
        <v>331</v>
      </c>
      <c r="D413" s="9" t="s">
        <v>38</v>
      </c>
      <c r="E413" s="9" t="s">
        <v>449</v>
      </c>
      <c r="F413" s="18" t="s">
        <v>39</v>
      </c>
      <c r="G413" s="19" t="n">
        <v>1050</v>
      </c>
      <c r="H413" s="18" t="s">
        <v>73</v>
      </c>
      <c r="I413" s="19" t="n">
        <v>10</v>
      </c>
      <c r="J413" s="19" t="n">
        <v>0</v>
      </c>
      <c r="K413" s="19" t="n">
        <v>0</v>
      </c>
      <c r="L413" s="19" t="n">
        <f aca="false">G413*I413-J413+K413</f>
        <v>10500</v>
      </c>
    </row>
    <row r="414" customFormat="false" ht="18.75" hidden="false" customHeight="true" outlineLevel="0" collapsed="false">
      <c r="A414" s="20" t="n">
        <v>410</v>
      </c>
      <c r="B414" s="21" t="s">
        <v>330</v>
      </c>
      <c r="C414" s="24" t="s">
        <v>331</v>
      </c>
      <c r="D414" s="13" t="s">
        <v>38</v>
      </c>
      <c r="E414" s="13" t="s">
        <v>459</v>
      </c>
      <c r="F414" s="21" t="s">
        <v>39</v>
      </c>
      <c r="G414" s="22" t="n">
        <v>268</v>
      </c>
      <c r="H414" s="21" t="s">
        <v>65</v>
      </c>
      <c r="I414" s="22" t="n">
        <v>16</v>
      </c>
      <c r="J414" s="22" t="n">
        <v>0</v>
      </c>
      <c r="K414" s="22" t="n">
        <v>0</v>
      </c>
      <c r="L414" s="22" t="n">
        <f aca="false">G414*I414-J414+K414</f>
        <v>4288</v>
      </c>
    </row>
    <row r="415" customFormat="false" ht="18.75" hidden="false" customHeight="true" outlineLevel="0" collapsed="false">
      <c r="A415" s="17" t="n">
        <v>411</v>
      </c>
      <c r="B415" s="18" t="s">
        <v>330</v>
      </c>
      <c r="C415" s="23" t="s">
        <v>331</v>
      </c>
      <c r="D415" s="9" t="s">
        <v>38</v>
      </c>
      <c r="E415" s="9" t="s">
        <v>72</v>
      </c>
      <c r="F415" s="18" t="s">
        <v>39</v>
      </c>
      <c r="G415" s="19" t="n">
        <v>410</v>
      </c>
      <c r="H415" s="18" t="s">
        <v>73</v>
      </c>
      <c r="I415" s="19" t="n">
        <v>22</v>
      </c>
      <c r="J415" s="19" t="n">
        <v>0</v>
      </c>
      <c r="K415" s="19" t="n">
        <v>0</v>
      </c>
      <c r="L415" s="19" t="n">
        <f aca="false">G415*I415-J415+K415</f>
        <v>9020</v>
      </c>
    </row>
    <row r="416" customFormat="false" ht="18.75" hidden="false" customHeight="true" outlineLevel="0" collapsed="false">
      <c r="A416" s="20" t="n">
        <v>412</v>
      </c>
      <c r="B416" s="21" t="s">
        <v>330</v>
      </c>
      <c r="C416" s="24" t="s">
        <v>331</v>
      </c>
      <c r="D416" s="13" t="s">
        <v>38</v>
      </c>
      <c r="E416" s="13" t="s">
        <v>506</v>
      </c>
      <c r="F416" s="21" t="s">
        <v>39</v>
      </c>
      <c r="G416" s="22" t="n">
        <v>4</v>
      </c>
      <c r="H416" s="21" t="s">
        <v>67</v>
      </c>
      <c r="I416" s="22" t="n">
        <v>1750</v>
      </c>
      <c r="J416" s="22" t="n">
        <v>0</v>
      </c>
      <c r="K416" s="22" t="n">
        <v>0</v>
      </c>
      <c r="L416" s="22" t="n">
        <f aca="false">G416*I416-J416+K416</f>
        <v>7000</v>
      </c>
    </row>
    <row r="417" customFormat="false" ht="18.75" hidden="false" customHeight="true" outlineLevel="0" collapsed="false">
      <c r="A417" s="17" t="n">
        <v>413</v>
      </c>
      <c r="B417" s="18" t="s">
        <v>330</v>
      </c>
      <c r="C417" s="23" t="s">
        <v>331</v>
      </c>
      <c r="D417" s="9" t="s">
        <v>38</v>
      </c>
      <c r="E417" s="9" t="s">
        <v>64</v>
      </c>
      <c r="F417" s="18" t="s">
        <v>39</v>
      </c>
      <c r="G417" s="19" t="n">
        <v>5260.25</v>
      </c>
      <c r="H417" s="18" t="s">
        <v>65</v>
      </c>
      <c r="I417" s="19" t="n">
        <v>16</v>
      </c>
      <c r="J417" s="19" t="n">
        <v>0</v>
      </c>
      <c r="K417" s="19" t="n">
        <v>0</v>
      </c>
      <c r="L417" s="19" t="n">
        <f aca="false">G417*I417-J417+K417</f>
        <v>84164</v>
      </c>
    </row>
    <row r="418" customFormat="false" ht="18.75" hidden="false" customHeight="true" outlineLevel="0" collapsed="false">
      <c r="A418" s="20" t="n">
        <v>414</v>
      </c>
      <c r="B418" s="21" t="s">
        <v>332</v>
      </c>
      <c r="C418" s="24" t="s">
        <v>333</v>
      </c>
      <c r="D418" s="13" t="s">
        <v>42</v>
      </c>
      <c r="E418" s="13" t="s">
        <v>66</v>
      </c>
      <c r="F418" s="21" t="s">
        <v>39</v>
      </c>
      <c r="G418" s="22" t="n">
        <v>200</v>
      </c>
      <c r="H418" s="21" t="s">
        <v>67</v>
      </c>
      <c r="I418" s="22" t="n">
        <v>250</v>
      </c>
      <c r="J418" s="22" t="n">
        <v>0</v>
      </c>
      <c r="K418" s="22" t="n">
        <v>0</v>
      </c>
      <c r="L418" s="22" t="n">
        <f aca="false">G418*I418-J418+K418</f>
        <v>50000</v>
      </c>
    </row>
    <row r="419" customFormat="false" ht="18.75" hidden="false" customHeight="true" outlineLevel="0" collapsed="false">
      <c r="A419" s="17" t="n">
        <v>415</v>
      </c>
      <c r="B419" s="18" t="s">
        <v>334</v>
      </c>
      <c r="C419" s="23" t="s">
        <v>335</v>
      </c>
      <c r="D419" s="9" t="s">
        <v>38</v>
      </c>
      <c r="E419" s="9" t="s">
        <v>471</v>
      </c>
      <c r="F419" s="18" t="s">
        <v>39</v>
      </c>
      <c r="G419" s="19" t="n">
        <v>1</v>
      </c>
      <c r="H419" s="18" t="s">
        <v>67</v>
      </c>
      <c r="I419" s="19" t="n">
        <v>7800</v>
      </c>
      <c r="J419" s="19" t="n">
        <v>0</v>
      </c>
      <c r="K419" s="19" t="n">
        <v>0</v>
      </c>
      <c r="L419" s="19" t="n">
        <f aca="false">G419*I419-J419+K419</f>
        <v>7800</v>
      </c>
    </row>
    <row r="420" customFormat="false" ht="18.75" hidden="false" customHeight="true" outlineLevel="0" collapsed="false">
      <c r="A420" s="20" t="n">
        <v>416</v>
      </c>
      <c r="B420" s="21" t="s">
        <v>334</v>
      </c>
      <c r="C420" s="24" t="s">
        <v>335</v>
      </c>
      <c r="D420" s="13" t="s">
        <v>38</v>
      </c>
      <c r="E420" s="13" t="s">
        <v>64</v>
      </c>
      <c r="F420" s="21" t="s">
        <v>39</v>
      </c>
      <c r="G420" s="22" t="n">
        <v>4973</v>
      </c>
      <c r="H420" s="21" t="s">
        <v>65</v>
      </c>
      <c r="I420" s="22" t="n">
        <v>16</v>
      </c>
      <c r="J420" s="22" t="n">
        <v>0</v>
      </c>
      <c r="K420" s="22" t="n">
        <v>0</v>
      </c>
      <c r="L420" s="22" t="n">
        <f aca="false">G420*I420-J420+K420</f>
        <v>79568</v>
      </c>
    </row>
    <row r="421" customFormat="false" ht="18.75" hidden="false" customHeight="true" outlineLevel="0" collapsed="false">
      <c r="A421" s="17" t="n">
        <v>417</v>
      </c>
      <c r="B421" s="18" t="s">
        <v>336</v>
      </c>
      <c r="C421" s="23" t="s">
        <v>337</v>
      </c>
      <c r="D421" s="9" t="s">
        <v>40</v>
      </c>
      <c r="E421" s="9" t="s">
        <v>453</v>
      </c>
      <c r="F421" s="18" t="s">
        <v>39</v>
      </c>
      <c r="G421" s="19" t="n">
        <v>6</v>
      </c>
      <c r="H421" s="18"/>
      <c r="I421" s="19" t="n">
        <v>1700</v>
      </c>
      <c r="J421" s="19" t="n">
        <v>0</v>
      </c>
      <c r="K421" s="19" t="n">
        <v>0</v>
      </c>
      <c r="L421" s="19" t="n">
        <f aca="false">G421*I421-J421+K421</f>
        <v>10200</v>
      </c>
    </row>
    <row r="422" customFormat="false" ht="18.75" hidden="false" customHeight="true" outlineLevel="0" collapsed="false">
      <c r="A422" s="20" t="n">
        <v>418</v>
      </c>
      <c r="B422" s="21" t="s">
        <v>336</v>
      </c>
      <c r="C422" s="24" t="s">
        <v>337</v>
      </c>
      <c r="D422" s="13" t="s">
        <v>40</v>
      </c>
      <c r="E422" s="13" t="s">
        <v>64</v>
      </c>
      <c r="F422" s="21" t="s">
        <v>39</v>
      </c>
      <c r="G422" s="22" t="n">
        <v>4625</v>
      </c>
      <c r="H422" s="21" t="s">
        <v>65</v>
      </c>
      <c r="I422" s="22" t="n">
        <v>16.25</v>
      </c>
      <c r="J422" s="22" t="n">
        <v>0</v>
      </c>
      <c r="K422" s="22" t="n">
        <v>0</v>
      </c>
      <c r="L422" s="22" t="n">
        <f aca="false">G422*I422-J422+K422</f>
        <v>75156.25</v>
      </c>
    </row>
    <row r="423" customFormat="false" ht="18.75" hidden="false" customHeight="true" outlineLevel="0" collapsed="false">
      <c r="A423" s="17" t="n">
        <v>419</v>
      </c>
      <c r="B423" s="18" t="s">
        <v>336</v>
      </c>
      <c r="C423" s="23" t="s">
        <v>337</v>
      </c>
      <c r="D423" s="9" t="s">
        <v>40</v>
      </c>
      <c r="E423" s="9" t="s">
        <v>459</v>
      </c>
      <c r="F423" s="18" t="s">
        <v>39</v>
      </c>
      <c r="G423" s="19" t="n">
        <v>335</v>
      </c>
      <c r="H423" s="18" t="s">
        <v>65</v>
      </c>
      <c r="I423" s="19" t="n">
        <v>16</v>
      </c>
      <c r="J423" s="19" t="n">
        <v>0</v>
      </c>
      <c r="K423" s="19" t="n">
        <v>0</v>
      </c>
      <c r="L423" s="19" t="n">
        <f aca="false">G423*I423-J423+K423</f>
        <v>5360</v>
      </c>
    </row>
    <row r="424" customFormat="false" ht="18.75" hidden="false" customHeight="true" outlineLevel="0" collapsed="false">
      <c r="A424" s="20" t="n">
        <v>420</v>
      </c>
      <c r="B424" s="21" t="s">
        <v>338</v>
      </c>
      <c r="C424" s="24" t="s">
        <v>339</v>
      </c>
      <c r="D424" s="13" t="s">
        <v>46</v>
      </c>
      <c r="E424" s="13" t="s">
        <v>64</v>
      </c>
      <c r="F424" s="21" t="s">
        <v>39</v>
      </c>
      <c r="G424" s="22" t="n">
        <v>3543.25</v>
      </c>
      <c r="H424" s="21" t="s">
        <v>65</v>
      </c>
      <c r="I424" s="22" t="n">
        <v>16.25</v>
      </c>
      <c r="J424" s="22" t="n">
        <v>0</v>
      </c>
      <c r="K424" s="22" t="n">
        <v>0</v>
      </c>
      <c r="L424" s="22" t="n">
        <f aca="false">G424*I424-J424+K424</f>
        <v>57577.8125</v>
      </c>
    </row>
    <row r="425" customFormat="false" ht="18.75" hidden="false" customHeight="true" outlineLevel="0" collapsed="false">
      <c r="A425" s="17" t="n">
        <v>421</v>
      </c>
      <c r="B425" s="18" t="s">
        <v>340</v>
      </c>
      <c r="C425" s="23" t="s">
        <v>341</v>
      </c>
      <c r="D425" s="9" t="s">
        <v>42</v>
      </c>
      <c r="E425" s="9" t="s">
        <v>519</v>
      </c>
      <c r="F425" s="18" t="s">
        <v>39</v>
      </c>
      <c r="G425" s="19" t="n">
        <v>10</v>
      </c>
      <c r="H425" s="18" t="s">
        <v>67</v>
      </c>
      <c r="I425" s="19" t="n">
        <v>2900</v>
      </c>
      <c r="J425" s="19" t="n">
        <v>0</v>
      </c>
      <c r="K425" s="19" t="n">
        <v>0</v>
      </c>
      <c r="L425" s="19" t="n">
        <f aca="false">G425*I425-J425+K425</f>
        <v>29000</v>
      </c>
    </row>
    <row r="426" customFormat="false" ht="18.75" hidden="false" customHeight="true" outlineLevel="0" collapsed="false">
      <c r="A426" s="20" t="n">
        <v>422</v>
      </c>
      <c r="B426" s="21" t="s">
        <v>340</v>
      </c>
      <c r="C426" s="24" t="s">
        <v>341</v>
      </c>
      <c r="D426" s="13" t="s">
        <v>42</v>
      </c>
      <c r="E426" s="13" t="s">
        <v>460</v>
      </c>
      <c r="F426" s="21" t="s">
        <v>39</v>
      </c>
      <c r="G426" s="22" t="n">
        <v>10</v>
      </c>
      <c r="H426" s="21" t="s">
        <v>67</v>
      </c>
      <c r="I426" s="22" t="n">
        <v>2800</v>
      </c>
      <c r="J426" s="22" t="n">
        <v>0</v>
      </c>
      <c r="K426" s="22" t="n">
        <v>0</v>
      </c>
      <c r="L426" s="22" t="n">
        <f aca="false">G426*I426-J426+K426</f>
        <v>28000</v>
      </c>
    </row>
    <row r="427" customFormat="false" ht="18.75" hidden="false" customHeight="true" outlineLevel="0" collapsed="false">
      <c r="A427" s="17" t="n">
        <v>423</v>
      </c>
      <c r="B427" s="18" t="s">
        <v>342</v>
      </c>
      <c r="C427" s="23" t="s">
        <v>341</v>
      </c>
      <c r="D427" s="9" t="s">
        <v>38</v>
      </c>
      <c r="E427" s="9" t="s">
        <v>463</v>
      </c>
      <c r="F427" s="18" t="s">
        <v>39</v>
      </c>
      <c r="G427" s="19" t="n">
        <v>15</v>
      </c>
      <c r="H427" s="18" t="s">
        <v>67</v>
      </c>
      <c r="I427" s="19" t="n">
        <v>225</v>
      </c>
      <c r="J427" s="19" t="n">
        <v>0</v>
      </c>
      <c r="K427" s="19" t="n">
        <v>0</v>
      </c>
      <c r="L427" s="19" t="n">
        <f aca="false">G427*I427-J427+K427</f>
        <v>3375</v>
      </c>
    </row>
    <row r="428" customFormat="false" ht="18.75" hidden="false" customHeight="true" outlineLevel="0" collapsed="false">
      <c r="A428" s="20" t="n">
        <v>424</v>
      </c>
      <c r="B428" s="21" t="s">
        <v>342</v>
      </c>
      <c r="C428" s="24" t="s">
        <v>341</v>
      </c>
      <c r="D428" s="13" t="s">
        <v>38</v>
      </c>
      <c r="E428" s="13" t="s">
        <v>452</v>
      </c>
      <c r="F428" s="21" t="s">
        <v>39</v>
      </c>
      <c r="G428" s="22" t="n">
        <v>4</v>
      </c>
      <c r="H428" s="21" t="s">
        <v>67</v>
      </c>
      <c r="I428" s="22" t="n">
        <v>1125</v>
      </c>
      <c r="J428" s="22" t="n">
        <v>0</v>
      </c>
      <c r="K428" s="22" t="n">
        <v>0</v>
      </c>
      <c r="L428" s="22" t="n">
        <f aca="false">G428*I428-J428+K428</f>
        <v>4500</v>
      </c>
    </row>
    <row r="429" customFormat="false" ht="18.75" hidden="false" customHeight="true" outlineLevel="0" collapsed="false">
      <c r="A429" s="17" t="n">
        <v>425</v>
      </c>
      <c r="B429" s="18" t="s">
        <v>342</v>
      </c>
      <c r="C429" s="23" t="s">
        <v>341</v>
      </c>
      <c r="D429" s="9" t="s">
        <v>38</v>
      </c>
      <c r="E429" s="9" t="s">
        <v>453</v>
      </c>
      <c r="F429" s="18" t="s">
        <v>39</v>
      </c>
      <c r="G429" s="19" t="n">
        <v>2</v>
      </c>
      <c r="H429" s="18"/>
      <c r="I429" s="19" t="n">
        <v>1650</v>
      </c>
      <c r="J429" s="19" t="n">
        <v>0</v>
      </c>
      <c r="K429" s="19" t="n">
        <v>0</v>
      </c>
      <c r="L429" s="19" t="n">
        <f aca="false">G429*I429-J429+K429</f>
        <v>3300</v>
      </c>
    </row>
    <row r="430" customFormat="false" ht="18.75" hidden="false" customHeight="true" outlineLevel="0" collapsed="false">
      <c r="A430" s="20" t="n">
        <v>426</v>
      </c>
      <c r="B430" s="21" t="s">
        <v>342</v>
      </c>
      <c r="C430" s="24" t="s">
        <v>341</v>
      </c>
      <c r="D430" s="13" t="s">
        <v>38</v>
      </c>
      <c r="E430" s="13" t="s">
        <v>462</v>
      </c>
      <c r="F430" s="21" t="s">
        <v>39</v>
      </c>
      <c r="G430" s="22" t="n">
        <v>16</v>
      </c>
      <c r="H430" s="21" t="s">
        <v>67</v>
      </c>
      <c r="I430" s="22" t="n">
        <v>650</v>
      </c>
      <c r="J430" s="22" t="n">
        <v>0</v>
      </c>
      <c r="K430" s="22" t="n">
        <v>0</v>
      </c>
      <c r="L430" s="22" t="n">
        <f aca="false">G430*I430-J430+K430</f>
        <v>10400</v>
      </c>
    </row>
    <row r="431" customFormat="false" ht="18.75" hidden="false" customHeight="true" outlineLevel="0" collapsed="false">
      <c r="A431" s="17" t="n">
        <v>427</v>
      </c>
      <c r="B431" s="18" t="s">
        <v>342</v>
      </c>
      <c r="C431" s="23" t="s">
        <v>341</v>
      </c>
      <c r="D431" s="9" t="s">
        <v>38</v>
      </c>
      <c r="E431" s="9" t="s">
        <v>508</v>
      </c>
      <c r="F431" s="18" t="s">
        <v>39</v>
      </c>
      <c r="G431" s="19" t="n">
        <v>12</v>
      </c>
      <c r="H431" s="18" t="s">
        <v>67</v>
      </c>
      <c r="I431" s="19" t="n">
        <v>575</v>
      </c>
      <c r="J431" s="19" t="n">
        <v>0</v>
      </c>
      <c r="K431" s="19" t="n">
        <v>0</v>
      </c>
      <c r="L431" s="19" t="n">
        <f aca="false">G431*I431-J431+K431</f>
        <v>6900</v>
      </c>
    </row>
    <row r="432" customFormat="false" ht="18.75" hidden="false" customHeight="true" outlineLevel="0" collapsed="false">
      <c r="A432" s="20" t="n">
        <v>428</v>
      </c>
      <c r="B432" s="21" t="s">
        <v>342</v>
      </c>
      <c r="C432" s="24" t="s">
        <v>341</v>
      </c>
      <c r="D432" s="13" t="s">
        <v>38</v>
      </c>
      <c r="E432" s="13" t="s">
        <v>64</v>
      </c>
      <c r="F432" s="21" t="s">
        <v>39</v>
      </c>
      <c r="G432" s="22" t="n">
        <v>4161.25</v>
      </c>
      <c r="H432" s="21" t="s">
        <v>65</v>
      </c>
      <c r="I432" s="22" t="n">
        <v>16</v>
      </c>
      <c r="J432" s="22" t="n">
        <v>0</v>
      </c>
      <c r="K432" s="22" t="n">
        <v>0</v>
      </c>
      <c r="L432" s="22" t="n">
        <f aca="false">G432*I432-J432+K432</f>
        <v>66580</v>
      </c>
    </row>
    <row r="433" customFormat="false" ht="18.75" hidden="false" customHeight="true" outlineLevel="0" collapsed="false">
      <c r="A433" s="17" t="n">
        <v>429</v>
      </c>
      <c r="B433" s="18" t="s">
        <v>342</v>
      </c>
      <c r="C433" s="23" t="s">
        <v>341</v>
      </c>
      <c r="D433" s="9" t="s">
        <v>38</v>
      </c>
      <c r="E433" s="9" t="s">
        <v>69</v>
      </c>
      <c r="F433" s="18" t="s">
        <v>39</v>
      </c>
      <c r="G433" s="19" t="n">
        <v>6</v>
      </c>
      <c r="H433" s="18" t="s">
        <v>67</v>
      </c>
      <c r="I433" s="19" t="n">
        <v>4950</v>
      </c>
      <c r="J433" s="19" t="n">
        <v>0</v>
      </c>
      <c r="K433" s="19" t="n">
        <v>0</v>
      </c>
      <c r="L433" s="19" t="n">
        <f aca="false">G433*I433-J433+K433</f>
        <v>29700</v>
      </c>
    </row>
    <row r="434" customFormat="false" ht="18.75" hidden="false" customHeight="true" outlineLevel="0" collapsed="false">
      <c r="A434" s="20" t="n">
        <v>430</v>
      </c>
      <c r="B434" s="21" t="s">
        <v>343</v>
      </c>
      <c r="C434" s="24" t="s">
        <v>344</v>
      </c>
      <c r="D434" s="13" t="s">
        <v>38</v>
      </c>
      <c r="E434" s="13" t="s">
        <v>75</v>
      </c>
      <c r="F434" s="21" t="s">
        <v>39</v>
      </c>
      <c r="G434" s="22" t="n">
        <v>3114</v>
      </c>
      <c r="H434" s="21" t="s">
        <v>65</v>
      </c>
      <c r="I434" s="22" t="n">
        <v>17.5</v>
      </c>
      <c r="J434" s="22" t="n">
        <v>0</v>
      </c>
      <c r="K434" s="22" t="n">
        <v>0</v>
      </c>
      <c r="L434" s="22" t="n">
        <f aca="false">G434*I434-J434+K434</f>
        <v>54495</v>
      </c>
    </row>
    <row r="435" customFormat="false" ht="18.75" hidden="false" customHeight="true" outlineLevel="0" collapsed="false">
      <c r="A435" s="17" t="n">
        <v>431</v>
      </c>
      <c r="B435" s="18" t="s">
        <v>343</v>
      </c>
      <c r="C435" s="23" t="s">
        <v>344</v>
      </c>
      <c r="D435" s="9" t="s">
        <v>38</v>
      </c>
      <c r="E435" s="9" t="s">
        <v>477</v>
      </c>
      <c r="F435" s="18" t="s">
        <v>39</v>
      </c>
      <c r="G435" s="19" t="n">
        <v>4</v>
      </c>
      <c r="H435" s="18" t="s">
        <v>67</v>
      </c>
      <c r="I435" s="19" t="n">
        <v>2300</v>
      </c>
      <c r="J435" s="19" t="n">
        <v>0</v>
      </c>
      <c r="K435" s="19" t="n">
        <v>0</v>
      </c>
      <c r="L435" s="19" t="n">
        <f aca="false">G435*I435-J435+K435</f>
        <v>9200</v>
      </c>
    </row>
    <row r="436" customFormat="false" ht="18.75" hidden="false" customHeight="true" outlineLevel="0" collapsed="false">
      <c r="A436" s="20" t="n">
        <v>432</v>
      </c>
      <c r="B436" s="21" t="s">
        <v>343</v>
      </c>
      <c r="C436" s="24" t="s">
        <v>344</v>
      </c>
      <c r="D436" s="13" t="s">
        <v>38</v>
      </c>
      <c r="E436" s="13" t="s">
        <v>74</v>
      </c>
      <c r="F436" s="21" t="s">
        <v>39</v>
      </c>
      <c r="G436" s="22" t="n">
        <v>10</v>
      </c>
      <c r="H436" s="21" t="s">
        <v>67</v>
      </c>
      <c r="I436" s="22" t="n">
        <v>800</v>
      </c>
      <c r="J436" s="22" t="n">
        <v>0</v>
      </c>
      <c r="K436" s="22" t="n">
        <v>0</v>
      </c>
      <c r="L436" s="22" t="n">
        <f aca="false">G436*I436-J436+K436</f>
        <v>8000</v>
      </c>
    </row>
    <row r="437" customFormat="false" ht="18.75" hidden="false" customHeight="true" outlineLevel="0" collapsed="false">
      <c r="A437" s="17" t="n">
        <v>433</v>
      </c>
      <c r="B437" s="18" t="s">
        <v>343</v>
      </c>
      <c r="C437" s="23" t="s">
        <v>344</v>
      </c>
      <c r="D437" s="9" t="s">
        <v>38</v>
      </c>
      <c r="E437" s="9" t="s">
        <v>69</v>
      </c>
      <c r="F437" s="18" t="s">
        <v>39</v>
      </c>
      <c r="G437" s="19" t="n">
        <v>6</v>
      </c>
      <c r="H437" s="18" t="s">
        <v>67</v>
      </c>
      <c r="I437" s="19" t="n">
        <v>4950</v>
      </c>
      <c r="J437" s="19" t="n">
        <v>0</v>
      </c>
      <c r="K437" s="19" t="n">
        <v>0</v>
      </c>
      <c r="L437" s="19" t="n">
        <f aca="false">G437*I437-J437+K437</f>
        <v>29700</v>
      </c>
    </row>
    <row r="438" customFormat="false" ht="18.75" hidden="false" customHeight="true" outlineLevel="0" collapsed="false">
      <c r="A438" s="20" t="n">
        <v>434</v>
      </c>
      <c r="B438" s="21" t="s">
        <v>345</v>
      </c>
      <c r="C438" s="24" t="s">
        <v>346</v>
      </c>
      <c r="D438" s="13" t="s">
        <v>42</v>
      </c>
      <c r="E438" s="13" t="s">
        <v>69</v>
      </c>
      <c r="F438" s="21" t="s">
        <v>39</v>
      </c>
      <c r="G438" s="22" t="n">
        <v>6</v>
      </c>
      <c r="H438" s="21" t="s">
        <v>67</v>
      </c>
      <c r="I438" s="22" t="n">
        <v>5350</v>
      </c>
      <c r="J438" s="22" t="n">
        <v>0</v>
      </c>
      <c r="K438" s="22" t="n">
        <v>0</v>
      </c>
      <c r="L438" s="22" t="n">
        <f aca="false">G438*I438-J438+K438</f>
        <v>32100</v>
      </c>
    </row>
    <row r="439" customFormat="false" ht="18.75" hidden="false" customHeight="true" outlineLevel="0" collapsed="false">
      <c r="A439" s="17" t="n">
        <v>435</v>
      </c>
      <c r="B439" s="18" t="s">
        <v>345</v>
      </c>
      <c r="C439" s="23" t="s">
        <v>346</v>
      </c>
      <c r="D439" s="9" t="s">
        <v>42</v>
      </c>
      <c r="E439" s="9" t="s">
        <v>457</v>
      </c>
      <c r="F439" s="18" t="s">
        <v>39</v>
      </c>
      <c r="G439" s="19" t="n">
        <v>1</v>
      </c>
      <c r="H439" s="18" t="s">
        <v>67</v>
      </c>
      <c r="I439" s="19" t="n">
        <v>4000</v>
      </c>
      <c r="J439" s="19" t="n">
        <v>0</v>
      </c>
      <c r="K439" s="19" t="n">
        <v>0</v>
      </c>
      <c r="L439" s="19" t="n">
        <f aca="false">G439*I439-J439+K439</f>
        <v>4000</v>
      </c>
    </row>
    <row r="440" customFormat="false" ht="18.75" hidden="false" customHeight="true" outlineLevel="0" collapsed="false">
      <c r="A440" s="20" t="n">
        <v>436</v>
      </c>
      <c r="B440" s="21" t="s">
        <v>347</v>
      </c>
      <c r="C440" s="24" t="s">
        <v>348</v>
      </c>
      <c r="D440" s="13" t="s">
        <v>38</v>
      </c>
      <c r="E440" s="13" t="s">
        <v>64</v>
      </c>
      <c r="F440" s="21" t="s">
        <v>39</v>
      </c>
      <c r="G440" s="22" t="n">
        <v>3621</v>
      </c>
      <c r="H440" s="21" t="s">
        <v>65</v>
      </c>
      <c r="I440" s="22" t="n">
        <v>16</v>
      </c>
      <c r="J440" s="22" t="n">
        <v>0</v>
      </c>
      <c r="K440" s="22" t="n">
        <v>0</v>
      </c>
      <c r="L440" s="22" t="n">
        <f aca="false">G440*I440-J440+K440</f>
        <v>57936</v>
      </c>
    </row>
    <row r="441" customFormat="false" ht="18.75" hidden="false" customHeight="true" outlineLevel="0" collapsed="false">
      <c r="A441" s="17" t="n">
        <v>437</v>
      </c>
      <c r="B441" s="18" t="s">
        <v>347</v>
      </c>
      <c r="C441" s="23" t="s">
        <v>348</v>
      </c>
      <c r="D441" s="9" t="s">
        <v>38</v>
      </c>
      <c r="E441" s="9" t="s">
        <v>459</v>
      </c>
      <c r="F441" s="18" t="s">
        <v>39</v>
      </c>
      <c r="G441" s="19" t="n">
        <v>408</v>
      </c>
      <c r="H441" s="18" t="s">
        <v>65</v>
      </c>
      <c r="I441" s="19" t="n">
        <v>16</v>
      </c>
      <c r="J441" s="19" t="n">
        <v>0</v>
      </c>
      <c r="K441" s="19" t="n">
        <v>0</v>
      </c>
      <c r="L441" s="19" t="n">
        <f aca="false">G441*I441-J441+K441</f>
        <v>6528</v>
      </c>
    </row>
    <row r="442" customFormat="false" ht="18.75" hidden="false" customHeight="true" outlineLevel="0" collapsed="false">
      <c r="A442" s="20" t="n">
        <v>438</v>
      </c>
      <c r="B442" s="21" t="s">
        <v>347</v>
      </c>
      <c r="C442" s="24" t="s">
        <v>348</v>
      </c>
      <c r="D442" s="13" t="s">
        <v>38</v>
      </c>
      <c r="E442" s="13" t="s">
        <v>467</v>
      </c>
      <c r="F442" s="21" t="s">
        <v>39</v>
      </c>
      <c r="G442" s="22" t="n">
        <v>4</v>
      </c>
      <c r="H442" s="21" t="s">
        <v>67</v>
      </c>
      <c r="I442" s="22" t="n">
        <v>550</v>
      </c>
      <c r="J442" s="22" t="n">
        <v>0</v>
      </c>
      <c r="K442" s="22" t="n">
        <v>0</v>
      </c>
      <c r="L442" s="22" t="n">
        <f aca="false">G442*I442-J442+K442</f>
        <v>2200</v>
      </c>
    </row>
    <row r="443" customFormat="false" ht="18.75" hidden="false" customHeight="true" outlineLevel="0" collapsed="false">
      <c r="A443" s="17" t="n">
        <v>439</v>
      </c>
      <c r="B443" s="18" t="s">
        <v>347</v>
      </c>
      <c r="C443" s="23" t="s">
        <v>348</v>
      </c>
      <c r="D443" s="9" t="s">
        <v>38</v>
      </c>
      <c r="E443" s="9" t="s">
        <v>471</v>
      </c>
      <c r="F443" s="18" t="s">
        <v>39</v>
      </c>
      <c r="G443" s="19" t="n">
        <v>1</v>
      </c>
      <c r="H443" s="18" t="s">
        <v>67</v>
      </c>
      <c r="I443" s="19" t="n">
        <v>12500</v>
      </c>
      <c r="J443" s="19" t="n">
        <v>0</v>
      </c>
      <c r="K443" s="19" t="n">
        <v>0</v>
      </c>
      <c r="L443" s="19" t="n">
        <f aca="false">G443*I443-J443+K443</f>
        <v>12500</v>
      </c>
    </row>
    <row r="444" customFormat="false" ht="18.75" hidden="false" customHeight="true" outlineLevel="0" collapsed="false">
      <c r="A444" s="20" t="n">
        <v>440</v>
      </c>
      <c r="B444" s="21" t="s">
        <v>347</v>
      </c>
      <c r="C444" s="24" t="s">
        <v>348</v>
      </c>
      <c r="D444" s="13" t="s">
        <v>38</v>
      </c>
      <c r="E444" s="13" t="s">
        <v>69</v>
      </c>
      <c r="F444" s="21" t="s">
        <v>39</v>
      </c>
      <c r="G444" s="22" t="n">
        <v>1</v>
      </c>
      <c r="H444" s="21" t="s">
        <v>67</v>
      </c>
      <c r="I444" s="22" t="n">
        <v>5350</v>
      </c>
      <c r="J444" s="22" t="n">
        <v>0</v>
      </c>
      <c r="K444" s="22" t="n">
        <v>0</v>
      </c>
      <c r="L444" s="22" t="n">
        <f aca="false">G444*I444-J444+K444</f>
        <v>5350</v>
      </c>
    </row>
    <row r="445" customFormat="false" ht="18.75" hidden="false" customHeight="true" outlineLevel="0" collapsed="false">
      <c r="A445" s="17" t="n">
        <v>441</v>
      </c>
      <c r="B445" s="18" t="s">
        <v>347</v>
      </c>
      <c r="C445" s="23" t="s">
        <v>348</v>
      </c>
      <c r="D445" s="9" t="s">
        <v>38</v>
      </c>
      <c r="E445" s="9" t="s">
        <v>69</v>
      </c>
      <c r="F445" s="18" t="s">
        <v>39</v>
      </c>
      <c r="G445" s="19" t="n">
        <v>1</v>
      </c>
      <c r="H445" s="18" t="s">
        <v>67</v>
      </c>
      <c r="I445" s="19" t="n">
        <v>4950</v>
      </c>
      <c r="J445" s="19" t="n">
        <v>0</v>
      </c>
      <c r="K445" s="19" t="n">
        <v>0</v>
      </c>
      <c r="L445" s="19" t="n">
        <f aca="false">G445*I445-J445+K445</f>
        <v>4950</v>
      </c>
    </row>
    <row r="446" customFormat="false" ht="18.75" hidden="false" customHeight="true" outlineLevel="0" collapsed="false">
      <c r="A446" s="20" t="n">
        <v>442</v>
      </c>
      <c r="B446" s="21" t="s">
        <v>349</v>
      </c>
      <c r="C446" s="24" t="s">
        <v>350</v>
      </c>
      <c r="D446" s="13" t="s">
        <v>38</v>
      </c>
      <c r="E446" s="13" t="s">
        <v>69</v>
      </c>
      <c r="F446" s="21" t="s">
        <v>39</v>
      </c>
      <c r="G446" s="22" t="n">
        <v>3</v>
      </c>
      <c r="H446" s="21" t="s">
        <v>67</v>
      </c>
      <c r="I446" s="22" t="n">
        <v>4950</v>
      </c>
      <c r="J446" s="22" t="n">
        <v>0</v>
      </c>
      <c r="K446" s="22" t="n">
        <v>0</v>
      </c>
      <c r="L446" s="22" t="n">
        <f aca="false">G446*I446-J446+K446</f>
        <v>14850</v>
      </c>
    </row>
    <row r="447" customFormat="false" ht="18.75" hidden="false" customHeight="true" outlineLevel="0" collapsed="false">
      <c r="A447" s="17" t="n">
        <v>443</v>
      </c>
      <c r="B447" s="18" t="s">
        <v>349</v>
      </c>
      <c r="C447" s="23" t="s">
        <v>350</v>
      </c>
      <c r="D447" s="9" t="s">
        <v>38</v>
      </c>
      <c r="E447" s="9" t="s">
        <v>471</v>
      </c>
      <c r="F447" s="18" t="s">
        <v>39</v>
      </c>
      <c r="G447" s="19" t="n">
        <v>1</v>
      </c>
      <c r="H447" s="18" t="s">
        <v>67</v>
      </c>
      <c r="I447" s="19" t="n">
        <v>12500</v>
      </c>
      <c r="J447" s="19" t="n">
        <v>0</v>
      </c>
      <c r="K447" s="19" t="n">
        <v>0</v>
      </c>
      <c r="L447" s="19" t="n">
        <f aca="false">G447*I447-J447+K447</f>
        <v>12500</v>
      </c>
    </row>
    <row r="448" customFormat="false" ht="18.75" hidden="false" customHeight="true" outlineLevel="0" collapsed="false">
      <c r="A448" s="20" t="n">
        <v>444</v>
      </c>
      <c r="B448" s="21" t="s">
        <v>349</v>
      </c>
      <c r="C448" s="24" t="s">
        <v>350</v>
      </c>
      <c r="D448" s="13" t="s">
        <v>38</v>
      </c>
      <c r="E448" s="13" t="s">
        <v>456</v>
      </c>
      <c r="F448" s="21" t="s">
        <v>39</v>
      </c>
      <c r="G448" s="22" t="n">
        <v>98.7</v>
      </c>
      <c r="H448" s="21" t="s">
        <v>65</v>
      </c>
      <c r="I448" s="22" t="n">
        <v>55</v>
      </c>
      <c r="J448" s="22" t="n">
        <v>0</v>
      </c>
      <c r="K448" s="22" t="n">
        <v>0</v>
      </c>
      <c r="L448" s="22" t="n">
        <f aca="false">G448*I448-J448+K448</f>
        <v>5428.5</v>
      </c>
    </row>
    <row r="449" customFormat="false" ht="18.75" hidden="false" customHeight="true" outlineLevel="0" collapsed="false">
      <c r="A449" s="17" t="n">
        <v>445</v>
      </c>
      <c r="B449" s="18" t="s">
        <v>349</v>
      </c>
      <c r="C449" s="23" t="s">
        <v>350</v>
      </c>
      <c r="D449" s="9" t="s">
        <v>38</v>
      </c>
      <c r="E449" s="9" t="s">
        <v>456</v>
      </c>
      <c r="F449" s="18" t="s">
        <v>39</v>
      </c>
      <c r="G449" s="19" t="n">
        <v>32.6</v>
      </c>
      <c r="H449" s="18" t="s">
        <v>65</v>
      </c>
      <c r="I449" s="19" t="n">
        <v>65</v>
      </c>
      <c r="J449" s="19" t="n">
        <v>0</v>
      </c>
      <c r="K449" s="19" t="n">
        <v>0</v>
      </c>
      <c r="L449" s="19" t="n">
        <f aca="false">G449*I449-J449+K449</f>
        <v>2119</v>
      </c>
    </row>
    <row r="450" customFormat="false" ht="18.75" hidden="false" customHeight="true" outlineLevel="0" collapsed="false">
      <c r="A450" s="20" t="n">
        <v>446</v>
      </c>
      <c r="B450" s="21" t="s">
        <v>351</v>
      </c>
      <c r="C450" s="24" t="s">
        <v>350</v>
      </c>
      <c r="D450" s="13" t="s">
        <v>42</v>
      </c>
      <c r="E450" s="13" t="s">
        <v>66</v>
      </c>
      <c r="F450" s="21" t="s">
        <v>39</v>
      </c>
      <c r="G450" s="22" t="n">
        <v>250</v>
      </c>
      <c r="H450" s="21" t="s">
        <v>67</v>
      </c>
      <c r="I450" s="22" t="n">
        <v>250</v>
      </c>
      <c r="J450" s="22" t="n">
        <v>0</v>
      </c>
      <c r="K450" s="22" t="n">
        <v>0</v>
      </c>
      <c r="L450" s="22" t="n">
        <f aca="false">G450*I450-J450+K450</f>
        <v>62500</v>
      </c>
    </row>
    <row r="451" customFormat="false" ht="18.75" hidden="false" customHeight="true" outlineLevel="0" collapsed="false">
      <c r="A451" s="17" t="n">
        <v>447</v>
      </c>
      <c r="B451" s="18" t="s">
        <v>352</v>
      </c>
      <c r="C451" s="23" t="s">
        <v>353</v>
      </c>
      <c r="D451" s="9" t="s">
        <v>354</v>
      </c>
      <c r="E451" s="9" t="s">
        <v>520</v>
      </c>
      <c r="F451" s="18" t="s">
        <v>39</v>
      </c>
      <c r="G451" s="19" t="n">
        <v>2</v>
      </c>
      <c r="H451" s="18"/>
      <c r="I451" s="19" t="n">
        <v>18000</v>
      </c>
      <c r="J451" s="19" t="n">
        <v>0</v>
      </c>
      <c r="K451" s="19" t="n">
        <v>0</v>
      </c>
      <c r="L451" s="19" t="n">
        <f aca="false">G451*I451-J451+K451</f>
        <v>36000</v>
      </c>
    </row>
    <row r="452" customFormat="false" ht="18.75" hidden="false" customHeight="true" outlineLevel="0" collapsed="false">
      <c r="A452" s="20" t="n">
        <v>448</v>
      </c>
      <c r="B452" s="21" t="s">
        <v>355</v>
      </c>
      <c r="C452" s="24" t="s">
        <v>356</v>
      </c>
      <c r="D452" s="13" t="s">
        <v>42</v>
      </c>
      <c r="E452" s="13" t="s">
        <v>447</v>
      </c>
      <c r="F452" s="21" t="s">
        <v>39</v>
      </c>
      <c r="G452" s="22" t="n">
        <v>2</v>
      </c>
      <c r="H452" s="21" t="s">
        <v>67</v>
      </c>
      <c r="I452" s="22" t="n">
        <v>5250</v>
      </c>
      <c r="J452" s="22" t="n">
        <v>0</v>
      </c>
      <c r="K452" s="22" t="n">
        <v>0</v>
      </c>
      <c r="L452" s="22" t="n">
        <f aca="false">G452*I452-J452+K452</f>
        <v>10500</v>
      </c>
    </row>
    <row r="453" customFormat="false" ht="18.75" hidden="false" customHeight="true" outlineLevel="0" collapsed="false">
      <c r="A453" s="17" t="n">
        <v>449</v>
      </c>
      <c r="B453" s="18" t="s">
        <v>355</v>
      </c>
      <c r="C453" s="23" t="s">
        <v>356</v>
      </c>
      <c r="D453" s="9" t="s">
        <v>42</v>
      </c>
      <c r="E453" s="9" t="s">
        <v>69</v>
      </c>
      <c r="F453" s="18" t="s">
        <v>39</v>
      </c>
      <c r="G453" s="19" t="n">
        <v>4</v>
      </c>
      <c r="H453" s="18" t="s">
        <v>67</v>
      </c>
      <c r="I453" s="19" t="n">
        <v>5000</v>
      </c>
      <c r="J453" s="19" t="n">
        <v>0</v>
      </c>
      <c r="K453" s="19" t="n">
        <v>0</v>
      </c>
      <c r="L453" s="19" t="n">
        <f aca="false">G453*I453-J453+K453</f>
        <v>20000</v>
      </c>
    </row>
    <row r="454" customFormat="false" ht="18.75" hidden="false" customHeight="true" outlineLevel="0" collapsed="false">
      <c r="A454" s="20" t="n">
        <v>450</v>
      </c>
      <c r="B454" s="21" t="s">
        <v>355</v>
      </c>
      <c r="C454" s="24" t="s">
        <v>356</v>
      </c>
      <c r="D454" s="13" t="s">
        <v>42</v>
      </c>
      <c r="E454" s="13" t="s">
        <v>457</v>
      </c>
      <c r="F454" s="21" t="s">
        <v>39</v>
      </c>
      <c r="G454" s="22" t="n">
        <v>1</v>
      </c>
      <c r="H454" s="21" t="s">
        <v>67</v>
      </c>
      <c r="I454" s="22" t="n">
        <v>4000</v>
      </c>
      <c r="J454" s="22" t="n">
        <v>0</v>
      </c>
      <c r="K454" s="22" t="n">
        <v>0</v>
      </c>
      <c r="L454" s="22" t="n">
        <f aca="false">G454*I454-J454+K454</f>
        <v>4000</v>
      </c>
    </row>
    <row r="455" customFormat="false" ht="18.75" hidden="false" customHeight="true" outlineLevel="0" collapsed="false">
      <c r="A455" s="17" t="n">
        <v>451</v>
      </c>
      <c r="B455" s="18" t="s">
        <v>357</v>
      </c>
      <c r="C455" s="23" t="s">
        <v>358</v>
      </c>
      <c r="D455" s="9" t="s">
        <v>38</v>
      </c>
      <c r="E455" s="9" t="s">
        <v>520</v>
      </c>
      <c r="F455" s="18" t="s">
        <v>39</v>
      </c>
      <c r="G455" s="19" t="n">
        <v>4</v>
      </c>
      <c r="H455" s="18"/>
      <c r="I455" s="19" t="n">
        <v>16500</v>
      </c>
      <c r="J455" s="19" t="n">
        <v>0</v>
      </c>
      <c r="K455" s="19" t="n">
        <v>0</v>
      </c>
      <c r="L455" s="19" t="n">
        <f aca="false">G455*I455-J455+K455</f>
        <v>66000</v>
      </c>
    </row>
    <row r="456" customFormat="false" ht="18.75" hidden="false" customHeight="true" outlineLevel="0" collapsed="false">
      <c r="A456" s="20" t="n">
        <v>452</v>
      </c>
      <c r="B456" s="21" t="s">
        <v>359</v>
      </c>
      <c r="C456" s="24" t="s">
        <v>360</v>
      </c>
      <c r="D456" s="13" t="s">
        <v>38</v>
      </c>
      <c r="E456" s="13" t="s">
        <v>521</v>
      </c>
      <c r="F456" s="21" t="s">
        <v>39</v>
      </c>
      <c r="G456" s="22" t="n">
        <v>125</v>
      </c>
      <c r="H456" s="21" t="s">
        <v>67</v>
      </c>
      <c r="I456" s="22" t="n">
        <v>42</v>
      </c>
      <c r="J456" s="22" t="n">
        <v>0</v>
      </c>
      <c r="K456" s="22" t="n">
        <v>0</v>
      </c>
      <c r="L456" s="22" t="n">
        <f aca="false">G456*I456-J456+K456</f>
        <v>5250</v>
      </c>
    </row>
    <row r="457" customFormat="false" ht="18.75" hidden="false" customHeight="true" outlineLevel="0" collapsed="false">
      <c r="A457" s="17" t="n">
        <v>453</v>
      </c>
      <c r="B457" s="18" t="s">
        <v>359</v>
      </c>
      <c r="C457" s="23" t="s">
        <v>360</v>
      </c>
      <c r="D457" s="9" t="s">
        <v>38</v>
      </c>
      <c r="E457" s="9" t="s">
        <v>522</v>
      </c>
      <c r="F457" s="18" t="s">
        <v>39</v>
      </c>
      <c r="G457" s="19" t="n">
        <v>80</v>
      </c>
      <c r="H457" s="18" t="s">
        <v>67</v>
      </c>
      <c r="I457" s="19" t="n">
        <v>190</v>
      </c>
      <c r="J457" s="19" t="n">
        <v>0</v>
      </c>
      <c r="K457" s="19" t="n">
        <v>0</v>
      </c>
      <c r="L457" s="19" t="n">
        <f aca="false">G457*I457-J457+K457</f>
        <v>15200</v>
      </c>
    </row>
    <row r="458" customFormat="false" ht="18.75" hidden="false" customHeight="true" outlineLevel="0" collapsed="false">
      <c r="A458" s="20" t="n">
        <v>454</v>
      </c>
      <c r="B458" s="21" t="s">
        <v>359</v>
      </c>
      <c r="C458" s="24" t="s">
        <v>360</v>
      </c>
      <c r="D458" s="13" t="s">
        <v>38</v>
      </c>
      <c r="E458" s="13" t="s">
        <v>523</v>
      </c>
      <c r="F458" s="21" t="s">
        <v>39</v>
      </c>
      <c r="G458" s="22" t="n">
        <v>1</v>
      </c>
      <c r="H458" s="21" t="s">
        <v>67</v>
      </c>
      <c r="I458" s="22" t="n">
        <v>700</v>
      </c>
      <c r="J458" s="22" t="n">
        <v>0</v>
      </c>
      <c r="K458" s="22" t="n">
        <v>0</v>
      </c>
      <c r="L458" s="22" t="n">
        <f aca="false">G458*I458-J458+K458</f>
        <v>700</v>
      </c>
    </row>
    <row r="459" customFormat="false" ht="18.75" hidden="false" customHeight="true" outlineLevel="0" collapsed="false">
      <c r="A459" s="17" t="n">
        <v>455</v>
      </c>
      <c r="B459" s="18" t="s">
        <v>359</v>
      </c>
      <c r="C459" s="23" t="s">
        <v>360</v>
      </c>
      <c r="D459" s="9" t="s">
        <v>38</v>
      </c>
      <c r="E459" s="9" t="s">
        <v>524</v>
      </c>
      <c r="F459" s="18" t="s">
        <v>39</v>
      </c>
      <c r="G459" s="19" t="n">
        <v>2</v>
      </c>
      <c r="H459" s="18" t="s">
        <v>67</v>
      </c>
      <c r="I459" s="19" t="n">
        <v>800</v>
      </c>
      <c r="J459" s="19" t="n">
        <v>0</v>
      </c>
      <c r="K459" s="19" t="n">
        <v>0</v>
      </c>
      <c r="L459" s="19" t="n">
        <f aca="false">G459*I459-J459+K459</f>
        <v>1600</v>
      </c>
    </row>
    <row r="460" customFormat="false" ht="18.75" hidden="false" customHeight="true" outlineLevel="0" collapsed="false">
      <c r="A460" s="20" t="n">
        <v>456</v>
      </c>
      <c r="B460" s="21" t="s">
        <v>359</v>
      </c>
      <c r="C460" s="24" t="s">
        <v>360</v>
      </c>
      <c r="D460" s="13" t="s">
        <v>38</v>
      </c>
      <c r="E460" s="13" t="s">
        <v>525</v>
      </c>
      <c r="F460" s="21" t="s">
        <v>39</v>
      </c>
      <c r="G460" s="22" t="n">
        <v>1400</v>
      </c>
      <c r="H460" s="21" t="s">
        <v>67</v>
      </c>
      <c r="I460" s="22" t="n">
        <v>5</v>
      </c>
      <c r="J460" s="22" t="n">
        <v>0</v>
      </c>
      <c r="K460" s="22" t="n">
        <v>0</v>
      </c>
      <c r="L460" s="22" t="n">
        <f aca="false">G460*I460-J460+K460</f>
        <v>7000</v>
      </c>
    </row>
    <row r="461" customFormat="false" ht="18.75" hidden="false" customHeight="true" outlineLevel="0" collapsed="false">
      <c r="A461" s="17" t="n">
        <v>457</v>
      </c>
      <c r="B461" s="18" t="s">
        <v>359</v>
      </c>
      <c r="C461" s="23" t="s">
        <v>360</v>
      </c>
      <c r="D461" s="9" t="s">
        <v>38</v>
      </c>
      <c r="E461" s="9" t="s">
        <v>526</v>
      </c>
      <c r="F461" s="18" t="s">
        <v>39</v>
      </c>
      <c r="G461" s="19" t="n">
        <v>50</v>
      </c>
      <c r="H461" s="18" t="s">
        <v>67</v>
      </c>
      <c r="I461" s="19" t="n">
        <v>330</v>
      </c>
      <c r="J461" s="19" t="n">
        <v>0</v>
      </c>
      <c r="K461" s="19" t="n">
        <v>0</v>
      </c>
      <c r="L461" s="19" t="n">
        <f aca="false">G461*I461-J461+K461</f>
        <v>16500</v>
      </c>
    </row>
    <row r="462" customFormat="false" ht="18.75" hidden="false" customHeight="true" outlineLevel="0" collapsed="false">
      <c r="A462" s="20" t="n">
        <v>458</v>
      </c>
      <c r="B462" s="21" t="s">
        <v>359</v>
      </c>
      <c r="C462" s="24" t="s">
        <v>360</v>
      </c>
      <c r="D462" s="13" t="s">
        <v>38</v>
      </c>
      <c r="E462" s="13" t="s">
        <v>527</v>
      </c>
      <c r="F462" s="21" t="s">
        <v>39</v>
      </c>
      <c r="G462" s="22" t="n">
        <v>10</v>
      </c>
      <c r="H462" s="21" t="s">
        <v>67</v>
      </c>
      <c r="I462" s="22" t="n">
        <v>650</v>
      </c>
      <c r="J462" s="22" t="n">
        <v>0</v>
      </c>
      <c r="K462" s="22" t="n">
        <v>0</v>
      </c>
      <c r="L462" s="22" t="n">
        <f aca="false">G462*I462-J462+K462</f>
        <v>6500</v>
      </c>
    </row>
    <row r="463" customFormat="false" ht="18.75" hidden="false" customHeight="true" outlineLevel="0" collapsed="false">
      <c r="A463" s="17" t="n">
        <v>459</v>
      </c>
      <c r="B463" s="18" t="s">
        <v>359</v>
      </c>
      <c r="C463" s="23" t="s">
        <v>360</v>
      </c>
      <c r="D463" s="9" t="s">
        <v>38</v>
      </c>
      <c r="E463" s="9" t="s">
        <v>462</v>
      </c>
      <c r="F463" s="18" t="s">
        <v>39</v>
      </c>
      <c r="G463" s="19" t="n">
        <v>20</v>
      </c>
      <c r="H463" s="18" t="s">
        <v>67</v>
      </c>
      <c r="I463" s="19" t="n">
        <v>650</v>
      </c>
      <c r="J463" s="19" t="n">
        <v>0</v>
      </c>
      <c r="K463" s="19" t="n">
        <v>0</v>
      </c>
      <c r="L463" s="19" t="n">
        <f aca="false">G463*I463-J463+K463</f>
        <v>13000</v>
      </c>
    </row>
    <row r="464" customFormat="false" ht="18.75" hidden="false" customHeight="true" outlineLevel="0" collapsed="false">
      <c r="A464" s="20" t="n">
        <v>460</v>
      </c>
      <c r="B464" s="21" t="s">
        <v>359</v>
      </c>
      <c r="C464" s="24" t="s">
        <v>360</v>
      </c>
      <c r="D464" s="13" t="s">
        <v>38</v>
      </c>
      <c r="E464" s="13" t="s">
        <v>477</v>
      </c>
      <c r="F464" s="21" t="s">
        <v>39</v>
      </c>
      <c r="G464" s="22" t="n">
        <v>5</v>
      </c>
      <c r="H464" s="21" t="s">
        <v>67</v>
      </c>
      <c r="I464" s="22" t="n">
        <v>2200</v>
      </c>
      <c r="J464" s="22" t="n">
        <v>0</v>
      </c>
      <c r="K464" s="22" t="n">
        <v>0</v>
      </c>
      <c r="L464" s="22" t="n">
        <f aca="false">G464*I464-J464+K464</f>
        <v>11000</v>
      </c>
    </row>
    <row r="465" customFormat="false" ht="18.75" hidden="false" customHeight="true" outlineLevel="0" collapsed="false">
      <c r="A465" s="17" t="n">
        <v>461</v>
      </c>
      <c r="B465" s="18" t="s">
        <v>359</v>
      </c>
      <c r="C465" s="23" t="s">
        <v>360</v>
      </c>
      <c r="D465" s="9" t="s">
        <v>38</v>
      </c>
      <c r="E465" s="9" t="s">
        <v>528</v>
      </c>
      <c r="F465" s="18" t="s">
        <v>39</v>
      </c>
      <c r="G465" s="19" t="n">
        <v>2</v>
      </c>
      <c r="H465" s="18" t="s">
        <v>67</v>
      </c>
      <c r="I465" s="19" t="n">
        <v>1550</v>
      </c>
      <c r="J465" s="19" t="n">
        <v>0</v>
      </c>
      <c r="K465" s="19" t="n">
        <v>0</v>
      </c>
      <c r="L465" s="19" t="n">
        <f aca="false">G465*I465-J465+K465</f>
        <v>3100</v>
      </c>
    </row>
    <row r="466" customFormat="false" ht="18.75" hidden="false" customHeight="true" outlineLevel="0" collapsed="false">
      <c r="A466" s="20" t="n">
        <v>462</v>
      </c>
      <c r="B466" s="21" t="s">
        <v>359</v>
      </c>
      <c r="C466" s="24" t="s">
        <v>360</v>
      </c>
      <c r="D466" s="13" t="s">
        <v>38</v>
      </c>
      <c r="E466" s="13" t="s">
        <v>529</v>
      </c>
      <c r="F466" s="21" t="s">
        <v>39</v>
      </c>
      <c r="G466" s="22" t="n">
        <v>2</v>
      </c>
      <c r="H466" s="21" t="s">
        <v>67</v>
      </c>
      <c r="I466" s="22" t="n">
        <v>2000</v>
      </c>
      <c r="J466" s="22" t="n">
        <v>0</v>
      </c>
      <c r="K466" s="22" t="n">
        <v>0</v>
      </c>
      <c r="L466" s="22" t="n">
        <f aca="false">G466*I466-J466+K466</f>
        <v>4000</v>
      </c>
    </row>
    <row r="467" customFormat="false" ht="18.75" hidden="false" customHeight="true" outlineLevel="0" collapsed="false">
      <c r="A467" s="17" t="n">
        <v>463</v>
      </c>
      <c r="B467" s="18" t="s">
        <v>359</v>
      </c>
      <c r="C467" s="23" t="s">
        <v>360</v>
      </c>
      <c r="D467" s="9" t="s">
        <v>38</v>
      </c>
      <c r="E467" s="9" t="s">
        <v>447</v>
      </c>
      <c r="F467" s="18" t="s">
        <v>39</v>
      </c>
      <c r="G467" s="19" t="n">
        <v>6</v>
      </c>
      <c r="H467" s="18" t="s">
        <v>67</v>
      </c>
      <c r="I467" s="19" t="n">
        <v>5200</v>
      </c>
      <c r="J467" s="19" t="n">
        <v>0</v>
      </c>
      <c r="K467" s="19" t="n">
        <v>0</v>
      </c>
      <c r="L467" s="19" t="n">
        <f aca="false">G467*I467-J467+K467</f>
        <v>31200</v>
      </c>
    </row>
    <row r="468" customFormat="false" ht="18.75" hidden="false" customHeight="true" outlineLevel="0" collapsed="false">
      <c r="A468" s="20" t="n">
        <v>464</v>
      </c>
      <c r="B468" s="21" t="s">
        <v>359</v>
      </c>
      <c r="C468" s="24" t="s">
        <v>360</v>
      </c>
      <c r="D468" s="13" t="s">
        <v>38</v>
      </c>
      <c r="E468" s="13" t="s">
        <v>530</v>
      </c>
      <c r="F468" s="21" t="s">
        <v>39</v>
      </c>
      <c r="G468" s="22" t="n">
        <v>48</v>
      </c>
      <c r="H468" s="21" t="s">
        <v>67</v>
      </c>
      <c r="I468" s="22" t="n">
        <v>550</v>
      </c>
      <c r="J468" s="22" t="n">
        <v>0</v>
      </c>
      <c r="K468" s="22" t="n">
        <v>0</v>
      </c>
      <c r="L468" s="22" t="n">
        <f aca="false">G468*I468-J468+K468</f>
        <v>26400</v>
      </c>
    </row>
    <row r="469" customFormat="false" ht="18.75" hidden="false" customHeight="true" outlineLevel="0" collapsed="false">
      <c r="A469" s="17" t="n">
        <v>465</v>
      </c>
      <c r="B469" s="18" t="s">
        <v>359</v>
      </c>
      <c r="C469" s="23" t="s">
        <v>360</v>
      </c>
      <c r="D469" s="9" t="s">
        <v>38</v>
      </c>
      <c r="E469" s="9" t="s">
        <v>531</v>
      </c>
      <c r="F469" s="18" t="s">
        <v>39</v>
      </c>
      <c r="G469" s="19" t="n">
        <v>20</v>
      </c>
      <c r="H469" s="18" t="s">
        <v>67</v>
      </c>
      <c r="I469" s="19" t="n">
        <v>60</v>
      </c>
      <c r="J469" s="19" t="n">
        <v>0</v>
      </c>
      <c r="K469" s="19" t="n">
        <v>0</v>
      </c>
      <c r="L469" s="19" t="n">
        <f aca="false">G469*I469-J469+K469</f>
        <v>1200</v>
      </c>
    </row>
    <row r="470" customFormat="false" ht="18.75" hidden="false" customHeight="true" outlineLevel="0" collapsed="false">
      <c r="A470" s="20" t="n">
        <v>466</v>
      </c>
      <c r="B470" s="21" t="s">
        <v>359</v>
      </c>
      <c r="C470" s="24" t="s">
        <v>360</v>
      </c>
      <c r="D470" s="13" t="s">
        <v>38</v>
      </c>
      <c r="E470" s="13" t="s">
        <v>72</v>
      </c>
      <c r="F470" s="21" t="s">
        <v>39</v>
      </c>
      <c r="G470" s="22" t="n">
        <v>918</v>
      </c>
      <c r="H470" s="21" t="s">
        <v>73</v>
      </c>
      <c r="I470" s="22" t="n">
        <v>20</v>
      </c>
      <c r="J470" s="22" t="n">
        <v>0</v>
      </c>
      <c r="K470" s="22" t="n">
        <v>0</v>
      </c>
      <c r="L470" s="22" t="n">
        <f aca="false">G470*I470-J470+K470</f>
        <v>18360</v>
      </c>
    </row>
    <row r="471" customFormat="false" ht="18.75" hidden="false" customHeight="true" outlineLevel="0" collapsed="false">
      <c r="A471" s="17" t="n">
        <v>467</v>
      </c>
      <c r="B471" s="18" t="s">
        <v>359</v>
      </c>
      <c r="C471" s="23" t="s">
        <v>360</v>
      </c>
      <c r="D471" s="9" t="s">
        <v>38</v>
      </c>
      <c r="E471" s="9" t="s">
        <v>449</v>
      </c>
      <c r="F471" s="18" t="s">
        <v>39</v>
      </c>
      <c r="G471" s="19" t="n">
        <v>150</v>
      </c>
      <c r="H471" s="18" t="s">
        <v>73</v>
      </c>
      <c r="I471" s="19" t="n">
        <v>10</v>
      </c>
      <c r="J471" s="19" t="n">
        <v>0</v>
      </c>
      <c r="K471" s="19" t="n">
        <v>0</v>
      </c>
      <c r="L471" s="19" t="n">
        <f aca="false">G471*I471-J471+K471</f>
        <v>1500</v>
      </c>
    </row>
    <row r="472" customFormat="false" ht="18.75" hidden="false" customHeight="true" outlineLevel="0" collapsed="false">
      <c r="A472" s="20" t="n">
        <v>468</v>
      </c>
      <c r="B472" s="21" t="s">
        <v>359</v>
      </c>
      <c r="C472" s="24" t="s">
        <v>360</v>
      </c>
      <c r="D472" s="13" t="s">
        <v>38</v>
      </c>
      <c r="E472" s="13" t="s">
        <v>64</v>
      </c>
      <c r="F472" s="21" t="s">
        <v>39</v>
      </c>
      <c r="G472" s="22" t="n">
        <v>552.75</v>
      </c>
      <c r="H472" s="21" t="s">
        <v>65</v>
      </c>
      <c r="I472" s="22" t="n">
        <v>15.5</v>
      </c>
      <c r="J472" s="22" t="n">
        <v>0</v>
      </c>
      <c r="K472" s="22" t="n">
        <v>0</v>
      </c>
      <c r="L472" s="22" t="n">
        <f aca="false">G472*I472-J472+K472</f>
        <v>8567.625</v>
      </c>
    </row>
    <row r="473" customFormat="false" ht="18.75" hidden="false" customHeight="true" outlineLevel="0" collapsed="false">
      <c r="A473" s="17" t="n">
        <v>469</v>
      </c>
      <c r="B473" s="18" t="s">
        <v>359</v>
      </c>
      <c r="C473" s="23" t="s">
        <v>360</v>
      </c>
      <c r="D473" s="9" t="s">
        <v>38</v>
      </c>
      <c r="E473" s="9" t="s">
        <v>532</v>
      </c>
      <c r="F473" s="18" t="s">
        <v>39</v>
      </c>
      <c r="G473" s="19" t="n">
        <v>668</v>
      </c>
      <c r="H473" s="18" t="s">
        <v>65</v>
      </c>
      <c r="I473" s="19" t="n">
        <v>17</v>
      </c>
      <c r="J473" s="19" t="n">
        <v>0</v>
      </c>
      <c r="K473" s="19" t="n">
        <v>0</v>
      </c>
      <c r="L473" s="19" t="n">
        <f aca="false">G473*I473-J473+K473</f>
        <v>11356</v>
      </c>
    </row>
    <row r="474" customFormat="false" ht="18.75" hidden="false" customHeight="true" outlineLevel="0" collapsed="false">
      <c r="A474" s="20" t="n">
        <v>470</v>
      </c>
      <c r="B474" s="21" t="s">
        <v>361</v>
      </c>
      <c r="C474" s="24" t="s">
        <v>362</v>
      </c>
      <c r="D474" s="13" t="s">
        <v>42</v>
      </c>
      <c r="E474" s="13" t="s">
        <v>64</v>
      </c>
      <c r="F474" s="21" t="s">
        <v>39</v>
      </c>
      <c r="G474" s="22" t="n">
        <v>393.5</v>
      </c>
      <c r="H474" s="21" t="s">
        <v>65</v>
      </c>
      <c r="I474" s="22" t="n">
        <v>16.25</v>
      </c>
      <c r="J474" s="22" t="n">
        <v>0</v>
      </c>
      <c r="K474" s="22" t="n">
        <v>0</v>
      </c>
      <c r="L474" s="22" t="n">
        <f aca="false">G474*I474-J474+K474</f>
        <v>6394.375</v>
      </c>
    </row>
    <row r="475" customFormat="false" ht="18.75" hidden="false" customHeight="true" outlineLevel="0" collapsed="false">
      <c r="A475" s="17" t="n">
        <v>471</v>
      </c>
      <c r="B475" s="18" t="s">
        <v>361</v>
      </c>
      <c r="C475" s="23" t="s">
        <v>362</v>
      </c>
      <c r="D475" s="9" t="s">
        <v>42</v>
      </c>
      <c r="E475" s="9" t="s">
        <v>75</v>
      </c>
      <c r="F475" s="18" t="s">
        <v>39</v>
      </c>
      <c r="G475" s="19" t="n">
        <v>256</v>
      </c>
      <c r="H475" s="18" t="s">
        <v>65</v>
      </c>
      <c r="I475" s="19" t="n">
        <v>17.25</v>
      </c>
      <c r="J475" s="19" t="n">
        <v>0</v>
      </c>
      <c r="K475" s="19" t="n">
        <v>0</v>
      </c>
      <c r="L475" s="19" t="n">
        <f aca="false">G475*I475-J475+K475</f>
        <v>4416</v>
      </c>
    </row>
    <row r="476" customFormat="false" ht="18.75" hidden="false" customHeight="true" outlineLevel="0" collapsed="false">
      <c r="A476" s="20" t="n">
        <v>472</v>
      </c>
      <c r="B476" s="21" t="s">
        <v>361</v>
      </c>
      <c r="C476" s="24" t="s">
        <v>362</v>
      </c>
      <c r="D476" s="13" t="s">
        <v>42</v>
      </c>
      <c r="E476" s="13" t="s">
        <v>520</v>
      </c>
      <c r="F476" s="21" t="s">
        <v>39</v>
      </c>
      <c r="G476" s="22" t="n">
        <v>2</v>
      </c>
      <c r="H476" s="21"/>
      <c r="I476" s="22" t="n">
        <v>17000</v>
      </c>
      <c r="J476" s="22" t="n">
        <v>0</v>
      </c>
      <c r="K476" s="22" t="n">
        <v>0</v>
      </c>
      <c r="L476" s="22" t="n">
        <f aca="false">G476*I476-J476+K476</f>
        <v>34000</v>
      </c>
    </row>
    <row r="477" customFormat="false" ht="18.75" hidden="false" customHeight="true" outlineLevel="0" collapsed="false">
      <c r="A477" s="17" t="n">
        <v>473</v>
      </c>
      <c r="B477" s="18" t="s">
        <v>361</v>
      </c>
      <c r="C477" s="23" t="s">
        <v>362</v>
      </c>
      <c r="D477" s="9" t="s">
        <v>42</v>
      </c>
      <c r="E477" s="9" t="s">
        <v>513</v>
      </c>
      <c r="F477" s="18" t="s">
        <v>39</v>
      </c>
      <c r="G477" s="19" t="n">
        <v>120</v>
      </c>
      <c r="H477" s="18" t="s">
        <v>67</v>
      </c>
      <c r="I477" s="19" t="n">
        <v>30</v>
      </c>
      <c r="J477" s="19" t="n">
        <v>0</v>
      </c>
      <c r="K477" s="19" t="n">
        <v>0</v>
      </c>
      <c r="L477" s="19" t="n">
        <f aca="false">G477*I477-J477+K477</f>
        <v>3600</v>
      </c>
    </row>
    <row r="478" customFormat="false" ht="18.75" hidden="false" customHeight="true" outlineLevel="0" collapsed="false">
      <c r="A478" s="20" t="n">
        <v>474</v>
      </c>
      <c r="B478" s="21" t="s">
        <v>361</v>
      </c>
      <c r="C478" s="24" t="s">
        <v>362</v>
      </c>
      <c r="D478" s="13" t="s">
        <v>42</v>
      </c>
      <c r="E478" s="13" t="s">
        <v>508</v>
      </c>
      <c r="F478" s="21" t="s">
        <v>39</v>
      </c>
      <c r="G478" s="22" t="n">
        <v>12</v>
      </c>
      <c r="H478" s="21" t="s">
        <v>67</v>
      </c>
      <c r="I478" s="22" t="n">
        <v>600</v>
      </c>
      <c r="J478" s="22" t="n">
        <v>0</v>
      </c>
      <c r="K478" s="22" t="n">
        <v>0</v>
      </c>
      <c r="L478" s="22" t="n">
        <f aca="false">G478*I478-J478+K478</f>
        <v>7200</v>
      </c>
    </row>
    <row r="479" customFormat="false" ht="18.75" hidden="false" customHeight="true" outlineLevel="0" collapsed="false">
      <c r="A479" s="17" t="n">
        <v>475</v>
      </c>
      <c r="B479" s="18" t="s">
        <v>361</v>
      </c>
      <c r="C479" s="23" t="s">
        <v>362</v>
      </c>
      <c r="D479" s="9" t="s">
        <v>42</v>
      </c>
      <c r="E479" s="9" t="s">
        <v>466</v>
      </c>
      <c r="F479" s="18" t="s">
        <v>39</v>
      </c>
      <c r="G479" s="19" t="n">
        <v>375.25</v>
      </c>
      <c r="H479" s="18" t="s">
        <v>65</v>
      </c>
      <c r="I479" s="19" t="n">
        <v>26</v>
      </c>
      <c r="J479" s="19" t="n">
        <v>0</v>
      </c>
      <c r="K479" s="19" t="n">
        <v>0</v>
      </c>
      <c r="L479" s="19" t="n">
        <f aca="false">G479*I479-J479+K479</f>
        <v>9756.5</v>
      </c>
    </row>
    <row r="480" customFormat="false" ht="18.75" hidden="false" customHeight="true" outlineLevel="0" collapsed="false">
      <c r="A480" s="20" t="n">
        <v>476</v>
      </c>
      <c r="B480" s="21" t="s">
        <v>363</v>
      </c>
      <c r="C480" s="24" t="s">
        <v>364</v>
      </c>
      <c r="D480" s="13" t="s">
        <v>38</v>
      </c>
      <c r="E480" s="13" t="s">
        <v>64</v>
      </c>
      <c r="F480" s="21" t="s">
        <v>39</v>
      </c>
      <c r="G480" s="22" t="n">
        <v>3311</v>
      </c>
      <c r="H480" s="21" t="s">
        <v>65</v>
      </c>
      <c r="I480" s="22" t="n">
        <v>16</v>
      </c>
      <c r="J480" s="22" t="n">
        <v>0</v>
      </c>
      <c r="K480" s="22" t="n">
        <v>0</v>
      </c>
      <c r="L480" s="22" t="n">
        <f aca="false">G480*I480-J480+K480</f>
        <v>52976</v>
      </c>
    </row>
    <row r="481" customFormat="false" ht="18.75" hidden="false" customHeight="true" outlineLevel="0" collapsed="false">
      <c r="A481" s="17" t="n">
        <v>477</v>
      </c>
      <c r="B481" s="18" t="s">
        <v>363</v>
      </c>
      <c r="C481" s="23" t="s">
        <v>364</v>
      </c>
      <c r="D481" s="9" t="s">
        <v>38</v>
      </c>
      <c r="E481" s="9" t="s">
        <v>501</v>
      </c>
      <c r="F481" s="18" t="s">
        <v>39</v>
      </c>
      <c r="G481" s="19" t="n">
        <v>3714.5</v>
      </c>
      <c r="H481" s="18" t="s">
        <v>65</v>
      </c>
      <c r="I481" s="19" t="n">
        <v>15.5</v>
      </c>
      <c r="J481" s="19" t="n">
        <v>0</v>
      </c>
      <c r="K481" s="19" t="n">
        <v>0</v>
      </c>
      <c r="L481" s="19" t="n">
        <f aca="false">G481*I481-J481+K481</f>
        <v>57574.75</v>
      </c>
    </row>
    <row r="482" customFormat="false" ht="18.75" hidden="false" customHeight="true" outlineLevel="0" collapsed="false">
      <c r="A482" s="20" t="n">
        <v>478</v>
      </c>
      <c r="B482" s="21" t="s">
        <v>363</v>
      </c>
      <c r="C482" s="24" t="s">
        <v>364</v>
      </c>
      <c r="D482" s="13" t="s">
        <v>38</v>
      </c>
      <c r="E482" s="13" t="s">
        <v>72</v>
      </c>
      <c r="F482" s="21" t="s">
        <v>39</v>
      </c>
      <c r="G482" s="22" t="n">
        <v>1397</v>
      </c>
      <c r="H482" s="21" t="s">
        <v>73</v>
      </c>
      <c r="I482" s="22" t="n">
        <v>22</v>
      </c>
      <c r="J482" s="22" t="n">
        <v>0</v>
      </c>
      <c r="K482" s="22" t="n">
        <v>0</v>
      </c>
      <c r="L482" s="22" t="n">
        <f aca="false">G482*I482-J482+K482</f>
        <v>30734</v>
      </c>
    </row>
    <row r="483" customFormat="false" ht="18.75" hidden="false" customHeight="true" outlineLevel="0" collapsed="false">
      <c r="A483" s="17" t="n">
        <v>479</v>
      </c>
      <c r="B483" s="18" t="s">
        <v>365</v>
      </c>
      <c r="C483" s="23" t="s">
        <v>366</v>
      </c>
      <c r="D483" s="9" t="s">
        <v>38</v>
      </c>
      <c r="E483" s="9" t="s">
        <v>64</v>
      </c>
      <c r="F483" s="18" t="s">
        <v>39</v>
      </c>
      <c r="G483" s="19" t="n">
        <v>1059</v>
      </c>
      <c r="H483" s="18" t="s">
        <v>65</v>
      </c>
      <c r="I483" s="19" t="n">
        <v>15.5</v>
      </c>
      <c r="J483" s="19" t="n">
        <v>0</v>
      </c>
      <c r="K483" s="19" t="n">
        <v>0</v>
      </c>
      <c r="L483" s="19" t="n">
        <f aca="false">G483*I483-J483+K483</f>
        <v>16414.5</v>
      </c>
    </row>
    <row r="484" customFormat="false" ht="18.75" hidden="false" customHeight="true" outlineLevel="0" collapsed="false">
      <c r="A484" s="20" t="n">
        <v>480</v>
      </c>
      <c r="B484" s="21" t="s">
        <v>365</v>
      </c>
      <c r="C484" s="24" t="s">
        <v>366</v>
      </c>
      <c r="D484" s="13" t="s">
        <v>38</v>
      </c>
      <c r="E484" s="13" t="s">
        <v>532</v>
      </c>
      <c r="F484" s="21" t="s">
        <v>39</v>
      </c>
      <c r="G484" s="22" t="n">
        <v>1411.25</v>
      </c>
      <c r="H484" s="21" t="s">
        <v>65</v>
      </c>
      <c r="I484" s="22" t="n">
        <v>17.25</v>
      </c>
      <c r="J484" s="22" t="n">
        <v>0</v>
      </c>
      <c r="K484" s="22" t="n">
        <v>0</v>
      </c>
      <c r="L484" s="22" t="n">
        <f aca="false">G484*I484-J484+K484</f>
        <v>24344.0625</v>
      </c>
    </row>
    <row r="485" customFormat="false" ht="18.75" hidden="false" customHeight="true" outlineLevel="0" collapsed="false">
      <c r="A485" s="17" t="n">
        <v>481</v>
      </c>
      <c r="B485" s="18" t="s">
        <v>365</v>
      </c>
      <c r="C485" s="23" t="s">
        <v>366</v>
      </c>
      <c r="D485" s="9" t="s">
        <v>38</v>
      </c>
      <c r="E485" s="9" t="s">
        <v>69</v>
      </c>
      <c r="F485" s="18" t="s">
        <v>39</v>
      </c>
      <c r="G485" s="19" t="n">
        <v>6</v>
      </c>
      <c r="H485" s="18" t="s">
        <v>67</v>
      </c>
      <c r="I485" s="19" t="n">
        <v>5200</v>
      </c>
      <c r="J485" s="19" t="n">
        <v>0</v>
      </c>
      <c r="K485" s="19" t="n">
        <v>0</v>
      </c>
      <c r="L485" s="19" t="n">
        <f aca="false">G485*I485-J485+K485</f>
        <v>31200</v>
      </c>
    </row>
    <row r="486" customFormat="false" ht="18.75" hidden="false" customHeight="true" outlineLevel="0" collapsed="false">
      <c r="A486" s="20" t="n">
        <v>482</v>
      </c>
      <c r="B486" s="21" t="s">
        <v>365</v>
      </c>
      <c r="C486" s="24" t="s">
        <v>366</v>
      </c>
      <c r="D486" s="13" t="s">
        <v>38</v>
      </c>
      <c r="E486" s="13" t="s">
        <v>468</v>
      </c>
      <c r="F486" s="21" t="s">
        <v>39</v>
      </c>
      <c r="G486" s="22" t="n">
        <v>6</v>
      </c>
      <c r="H486" s="21" t="s">
        <v>67</v>
      </c>
      <c r="I486" s="22" t="n">
        <v>1600</v>
      </c>
      <c r="J486" s="22" t="n">
        <v>0</v>
      </c>
      <c r="K486" s="22" t="n">
        <v>0</v>
      </c>
      <c r="L486" s="22" t="n">
        <f aca="false">G486*I486-J486+K486</f>
        <v>9600</v>
      </c>
    </row>
    <row r="487" customFormat="false" ht="18.75" hidden="false" customHeight="true" outlineLevel="0" collapsed="false">
      <c r="A487" s="17" t="n">
        <v>483</v>
      </c>
      <c r="B487" s="18" t="s">
        <v>365</v>
      </c>
      <c r="C487" s="23" t="s">
        <v>366</v>
      </c>
      <c r="D487" s="9" t="s">
        <v>38</v>
      </c>
      <c r="E487" s="9" t="s">
        <v>469</v>
      </c>
      <c r="F487" s="18" t="s">
        <v>39</v>
      </c>
      <c r="G487" s="19" t="n">
        <v>4</v>
      </c>
      <c r="H487" s="18"/>
      <c r="I487" s="19" t="n">
        <v>2310</v>
      </c>
      <c r="J487" s="19" t="n">
        <v>0</v>
      </c>
      <c r="K487" s="19" t="n">
        <v>0</v>
      </c>
      <c r="L487" s="19" t="n">
        <f aca="false">G487*I487-J487+K487</f>
        <v>9240</v>
      </c>
    </row>
    <row r="488" customFormat="false" ht="18.75" hidden="false" customHeight="true" outlineLevel="0" collapsed="false">
      <c r="A488" s="20" t="n">
        <v>484</v>
      </c>
      <c r="B488" s="21" t="s">
        <v>365</v>
      </c>
      <c r="C488" s="24" t="s">
        <v>366</v>
      </c>
      <c r="D488" s="13" t="s">
        <v>38</v>
      </c>
      <c r="E488" s="13" t="s">
        <v>533</v>
      </c>
      <c r="F488" s="21" t="s">
        <v>39</v>
      </c>
      <c r="G488" s="22" t="n">
        <v>2</v>
      </c>
      <c r="H488" s="21" t="s">
        <v>67</v>
      </c>
      <c r="I488" s="22" t="n">
        <v>3150</v>
      </c>
      <c r="J488" s="22" t="n">
        <v>0</v>
      </c>
      <c r="K488" s="22" t="n">
        <v>0</v>
      </c>
      <c r="L488" s="22" t="n">
        <f aca="false">G488*I488-J488+K488</f>
        <v>6300</v>
      </c>
    </row>
    <row r="489" customFormat="false" ht="18.75" hidden="false" customHeight="true" outlineLevel="0" collapsed="false">
      <c r="A489" s="17" t="n">
        <v>485</v>
      </c>
      <c r="B489" s="18" t="s">
        <v>365</v>
      </c>
      <c r="C489" s="23" t="s">
        <v>366</v>
      </c>
      <c r="D489" s="9" t="s">
        <v>38</v>
      </c>
      <c r="E489" s="9" t="s">
        <v>66</v>
      </c>
      <c r="F489" s="18" t="s">
        <v>39</v>
      </c>
      <c r="G489" s="19" t="n">
        <v>15</v>
      </c>
      <c r="H489" s="18" t="s">
        <v>67</v>
      </c>
      <c r="I489" s="19" t="n">
        <v>265</v>
      </c>
      <c r="J489" s="19" t="n">
        <v>0</v>
      </c>
      <c r="K489" s="19" t="n">
        <v>0</v>
      </c>
      <c r="L489" s="19" t="n">
        <f aca="false">G489*I489-J489+K489</f>
        <v>3975</v>
      </c>
    </row>
    <row r="490" customFormat="false" ht="18.75" hidden="false" customHeight="true" outlineLevel="0" collapsed="false">
      <c r="A490" s="20" t="n">
        <v>486</v>
      </c>
      <c r="B490" s="21" t="s">
        <v>367</v>
      </c>
      <c r="C490" s="24" t="s">
        <v>368</v>
      </c>
      <c r="D490" s="13" t="s">
        <v>38</v>
      </c>
      <c r="E490" s="13" t="s">
        <v>75</v>
      </c>
      <c r="F490" s="21" t="s">
        <v>39</v>
      </c>
      <c r="G490" s="22" t="n">
        <v>2420.25</v>
      </c>
      <c r="H490" s="21" t="s">
        <v>65</v>
      </c>
      <c r="I490" s="22" t="n">
        <v>17.25</v>
      </c>
      <c r="J490" s="22" t="n">
        <v>0</v>
      </c>
      <c r="K490" s="22" t="n">
        <v>0</v>
      </c>
      <c r="L490" s="22" t="n">
        <f aca="false">G490*I490-J490+K490</f>
        <v>41749.3125</v>
      </c>
    </row>
    <row r="491" customFormat="false" ht="18.75" hidden="false" customHeight="true" outlineLevel="0" collapsed="false">
      <c r="A491" s="17" t="n">
        <v>487</v>
      </c>
      <c r="B491" s="18" t="s">
        <v>367</v>
      </c>
      <c r="C491" s="23" t="s">
        <v>368</v>
      </c>
      <c r="D491" s="9" t="s">
        <v>38</v>
      </c>
      <c r="E491" s="9" t="s">
        <v>449</v>
      </c>
      <c r="F491" s="18" t="s">
        <v>39</v>
      </c>
      <c r="G491" s="19" t="n">
        <v>780</v>
      </c>
      <c r="H491" s="18" t="s">
        <v>73</v>
      </c>
      <c r="I491" s="19" t="n">
        <v>10</v>
      </c>
      <c r="J491" s="19" t="n">
        <v>0</v>
      </c>
      <c r="K491" s="19" t="n">
        <v>0</v>
      </c>
      <c r="L491" s="19" t="n">
        <f aca="false">G491*I491-J491+K491</f>
        <v>7800</v>
      </c>
    </row>
    <row r="492" customFormat="false" ht="18.75" hidden="false" customHeight="true" outlineLevel="0" collapsed="false">
      <c r="A492" s="20" t="n">
        <v>488</v>
      </c>
      <c r="B492" s="21" t="s">
        <v>367</v>
      </c>
      <c r="C492" s="24" t="s">
        <v>368</v>
      </c>
      <c r="D492" s="13" t="s">
        <v>38</v>
      </c>
      <c r="E492" s="13" t="s">
        <v>64</v>
      </c>
      <c r="F492" s="21" t="s">
        <v>39</v>
      </c>
      <c r="G492" s="22" t="n">
        <v>1203.5</v>
      </c>
      <c r="H492" s="21" t="s">
        <v>65</v>
      </c>
      <c r="I492" s="22" t="n">
        <v>16</v>
      </c>
      <c r="J492" s="22" t="n">
        <v>0</v>
      </c>
      <c r="K492" s="22" t="n">
        <v>0</v>
      </c>
      <c r="L492" s="22" t="n">
        <f aca="false">G492*I492-J492+K492</f>
        <v>19256</v>
      </c>
    </row>
    <row r="493" customFormat="false" ht="18.75" hidden="false" customHeight="true" outlineLevel="0" collapsed="false">
      <c r="A493" s="17" t="n">
        <v>489</v>
      </c>
      <c r="B493" s="18" t="s">
        <v>367</v>
      </c>
      <c r="C493" s="23" t="s">
        <v>368</v>
      </c>
      <c r="D493" s="9" t="s">
        <v>38</v>
      </c>
      <c r="E493" s="9" t="s">
        <v>64</v>
      </c>
      <c r="F493" s="18" t="s">
        <v>39</v>
      </c>
      <c r="G493" s="19" t="n">
        <v>913</v>
      </c>
      <c r="H493" s="18" t="s">
        <v>65</v>
      </c>
      <c r="I493" s="19" t="n">
        <v>15.5</v>
      </c>
      <c r="J493" s="19" t="n">
        <v>0</v>
      </c>
      <c r="K493" s="19" t="n">
        <v>0</v>
      </c>
      <c r="L493" s="19" t="n">
        <f aca="false">G493*I493-J493+K493</f>
        <v>14151.5</v>
      </c>
    </row>
    <row r="494" customFormat="false" ht="18.75" hidden="false" customHeight="true" outlineLevel="0" collapsed="false">
      <c r="A494" s="20" t="n">
        <v>490</v>
      </c>
      <c r="B494" s="21" t="s">
        <v>367</v>
      </c>
      <c r="C494" s="24" t="s">
        <v>368</v>
      </c>
      <c r="D494" s="13" t="s">
        <v>38</v>
      </c>
      <c r="E494" s="13" t="s">
        <v>456</v>
      </c>
      <c r="F494" s="21" t="s">
        <v>39</v>
      </c>
      <c r="G494" s="22" t="n">
        <v>99.6</v>
      </c>
      <c r="H494" s="21" t="s">
        <v>65</v>
      </c>
      <c r="I494" s="22" t="n">
        <v>55</v>
      </c>
      <c r="J494" s="22" t="n">
        <v>0</v>
      </c>
      <c r="K494" s="22" t="n">
        <v>0</v>
      </c>
      <c r="L494" s="22" t="n">
        <f aca="false">G494*I494-J494+K494</f>
        <v>5478</v>
      </c>
    </row>
    <row r="495" customFormat="false" ht="18.75" hidden="false" customHeight="true" outlineLevel="0" collapsed="false">
      <c r="A495" s="17" t="n">
        <v>491</v>
      </c>
      <c r="B495" s="18" t="s">
        <v>367</v>
      </c>
      <c r="C495" s="23" t="s">
        <v>368</v>
      </c>
      <c r="D495" s="9" t="s">
        <v>38</v>
      </c>
      <c r="E495" s="9" t="s">
        <v>66</v>
      </c>
      <c r="F495" s="18" t="s">
        <v>39</v>
      </c>
      <c r="G495" s="19" t="n">
        <v>50</v>
      </c>
      <c r="H495" s="18" t="s">
        <v>67</v>
      </c>
      <c r="I495" s="19" t="n">
        <v>250</v>
      </c>
      <c r="J495" s="19" t="n">
        <v>0</v>
      </c>
      <c r="K495" s="19" t="n">
        <v>0</v>
      </c>
      <c r="L495" s="19" t="n">
        <f aca="false">G495*I495-J495+K495</f>
        <v>12500</v>
      </c>
    </row>
    <row r="496" customFormat="false" ht="18.75" hidden="false" customHeight="true" outlineLevel="0" collapsed="false">
      <c r="A496" s="20" t="n">
        <v>492</v>
      </c>
      <c r="B496" s="21" t="s">
        <v>367</v>
      </c>
      <c r="C496" s="24" t="s">
        <v>368</v>
      </c>
      <c r="D496" s="13" t="s">
        <v>38</v>
      </c>
      <c r="E496" s="13" t="s">
        <v>520</v>
      </c>
      <c r="F496" s="21" t="s">
        <v>39</v>
      </c>
      <c r="G496" s="22" t="n">
        <v>1</v>
      </c>
      <c r="H496" s="21"/>
      <c r="I496" s="22" t="n">
        <v>17000</v>
      </c>
      <c r="J496" s="22" t="n">
        <v>0</v>
      </c>
      <c r="K496" s="22" t="n">
        <v>0</v>
      </c>
      <c r="L496" s="22" t="n">
        <f aca="false">G496*I496-J496+K496</f>
        <v>17000</v>
      </c>
    </row>
    <row r="497" customFormat="false" ht="18.75" hidden="false" customHeight="true" outlineLevel="0" collapsed="false">
      <c r="A497" s="17" t="n">
        <v>493</v>
      </c>
      <c r="B497" s="18" t="s">
        <v>367</v>
      </c>
      <c r="C497" s="23" t="s">
        <v>368</v>
      </c>
      <c r="D497" s="9" t="s">
        <v>38</v>
      </c>
      <c r="E497" s="9" t="s">
        <v>72</v>
      </c>
      <c r="F497" s="18" t="s">
        <v>39</v>
      </c>
      <c r="G497" s="19" t="n">
        <v>941</v>
      </c>
      <c r="H497" s="18" t="s">
        <v>73</v>
      </c>
      <c r="I497" s="19" t="n">
        <v>21</v>
      </c>
      <c r="J497" s="19" t="n">
        <v>0</v>
      </c>
      <c r="K497" s="19" t="n">
        <v>0</v>
      </c>
      <c r="L497" s="19" t="n">
        <f aca="false">G497*I497-J497+K497</f>
        <v>19761</v>
      </c>
    </row>
    <row r="498" customFormat="false" ht="18.75" hidden="false" customHeight="true" outlineLevel="0" collapsed="false">
      <c r="A498" s="20" t="n">
        <v>494</v>
      </c>
      <c r="B498" s="21" t="s">
        <v>369</v>
      </c>
      <c r="C498" s="24" t="s">
        <v>370</v>
      </c>
      <c r="D498" s="13" t="s">
        <v>38</v>
      </c>
      <c r="E498" s="13" t="s">
        <v>64</v>
      </c>
      <c r="F498" s="21" t="s">
        <v>39</v>
      </c>
      <c r="G498" s="22" t="n">
        <v>780</v>
      </c>
      <c r="H498" s="21" t="s">
        <v>65</v>
      </c>
      <c r="I498" s="22" t="n">
        <v>15.5</v>
      </c>
      <c r="J498" s="22" t="n">
        <v>0</v>
      </c>
      <c r="K498" s="22" t="n">
        <v>0</v>
      </c>
      <c r="L498" s="22" t="n">
        <f aca="false">G498*I498-J498+K498</f>
        <v>12090</v>
      </c>
    </row>
    <row r="499" customFormat="false" ht="18.75" hidden="false" customHeight="true" outlineLevel="0" collapsed="false">
      <c r="A499" s="17" t="n">
        <v>495</v>
      </c>
      <c r="B499" s="18" t="s">
        <v>369</v>
      </c>
      <c r="C499" s="23" t="s">
        <v>370</v>
      </c>
      <c r="D499" s="9" t="s">
        <v>38</v>
      </c>
      <c r="E499" s="9" t="s">
        <v>468</v>
      </c>
      <c r="F499" s="18" t="s">
        <v>39</v>
      </c>
      <c r="G499" s="19" t="n">
        <v>6</v>
      </c>
      <c r="H499" s="18" t="s">
        <v>67</v>
      </c>
      <c r="I499" s="19" t="n">
        <v>1450</v>
      </c>
      <c r="J499" s="19" t="n">
        <v>0</v>
      </c>
      <c r="K499" s="19" t="n">
        <v>0</v>
      </c>
      <c r="L499" s="19" t="n">
        <f aca="false">G499*I499-J499+K499</f>
        <v>8700</v>
      </c>
    </row>
    <row r="500" customFormat="false" ht="18.75" hidden="false" customHeight="true" outlineLevel="0" collapsed="false">
      <c r="A500" s="20" t="n">
        <v>496</v>
      </c>
      <c r="B500" s="21" t="s">
        <v>369</v>
      </c>
      <c r="C500" s="24" t="s">
        <v>370</v>
      </c>
      <c r="D500" s="13" t="s">
        <v>38</v>
      </c>
      <c r="E500" s="13" t="s">
        <v>469</v>
      </c>
      <c r="F500" s="21" t="s">
        <v>39</v>
      </c>
      <c r="G500" s="22" t="n">
        <v>4</v>
      </c>
      <c r="H500" s="21"/>
      <c r="I500" s="22" t="n">
        <v>2300</v>
      </c>
      <c r="J500" s="22" t="n">
        <v>0</v>
      </c>
      <c r="K500" s="22" t="n">
        <v>0</v>
      </c>
      <c r="L500" s="22" t="n">
        <f aca="false">G500*I500-J500+K500</f>
        <v>9200</v>
      </c>
    </row>
    <row r="501" customFormat="false" ht="18.75" hidden="false" customHeight="true" outlineLevel="0" collapsed="false">
      <c r="A501" s="17" t="n">
        <v>497</v>
      </c>
      <c r="B501" s="18" t="s">
        <v>369</v>
      </c>
      <c r="C501" s="23" t="s">
        <v>370</v>
      </c>
      <c r="D501" s="9" t="s">
        <v>38</v>
      </c>
      <c r="E501" s="9" t="s">
        <v>520</v>
      </c>
      <c r="F501" s="18" t="s">
        <v>39</v>
      </c>
      <c r="G501" s="19" t="n">
        <v>4</v>
      </c>
      <c r="H501" s="18"/>
      <c r="I501" s="19" t="n">
        <v>16500</v>
      </c>
      <c r="J501" s="19" t="n">
        <v>0</v>
      </c>
      <c r="K501" s="19" t="n">
        <v>0</v>
      </c>
      <c r="L501" s="19" t="n">
        <f aca="false">G501*I501-J501+K501</f>
        <v>66000</v>
      </c>
    </row>
    <row r="502" customFormat="false" ht="18.75" hidden="false" customHeight="true" outlineLevel="0" collapsed="false">
      <c r="A502" s="20" t="n">
        <v>498</v>
      </c>
      <c r="B502" s="21" t="s">
        <v>371</v>
      </c>
      <c r="C502" s="24" t="s">
        <v>372</v>
      </c>
      <c r="D502" s="13" t="s">
        <v>42</v>
      </c>
      <c r="E502" s="13" t="s">
        <v>64</v>
      </c>
      <c r="F502" s="21" t="s">
        <v>39</v>
      </c>
      <c r="G502" s="22" t="n">
        <v>1818.75</v>
      </c>
      <c r="H502" s="21" t="s">
        <v>65</v>
      </c>
      <c r="I502" s="22" t="n">
        <v>16</v>
      </c>
      <c r="J502" s="22" t="n">
        <v>0</v>
      </c>
      <c r="K502" s="22" t="n">
        <v>0</v>
      </c>
      <c r="L502" s="22" t="n">
        <f aca="false">G502*I502-J502+K502</f>
        <v>29100</v>
      </c>
    </row>
    <row r="503" customFormat="false" ht="18.75" hidden="false" customHeight="true" outlineLevel="0" collapsed="false">
      <c r="A503" s="17" t="n">
        <v>499</v>
      </c>
      <c r="B503" s="18" t="s">
        <v>371</v>
      </c>
      <c r="C503" s="23" t="s">
        <v>372</v>
      </c>
      <c r="D503" s="9" t="s">
        <v>42</v>
      </c>
      <c r="E503" s="9" t="s">
        <v>72</v>
      </c>
      <c r="F503" s="18" t="s">
        <v>39</v>
      </c>
      <c r="G503" s="19" t="n">
        <v>134</v>
      </c>
      <c r="H503" s="18" t="s">
        <v>73</v>
      </c>
      <c r="I503" s="19" t="n">
        <v>22</v>
      </c>
      <c r="J503" s="19" t="n">
        <v>0</v>
      </c>
      <c r="K503" s="19" t="n">
        <v>0</v>
      </c>
      <c r="L503" s="19" t="n">
        <f aca="false">G503*I503-J503+K503</f>
        <v>2948</v>
      </c>
    </row>
    <row r="504" customFormat="false" ht="18.75" hidden="false" customHeight="true" outlineLevel="0" collapsed="false">
      <c r="A504" s="20" t="n">
        <v>500</v>
      </c>
      <c r="B504" s="21" t="s">
        <v>371</v>
      </c>
      <c r="C504" s="24" t="s">
        <v>372</v>
      </c>
      <c r="D504" s="13" t="s">
        <v>42</v>
      </c>
      <c r="E504" s="13" t="s">
        <v>459</v>
      </c>
      <c r="F504" s="21" t="s">
        <v>39</v>
      </c>
      <c r="G504" s="22" t="n">
        <v>569</v>
      </c>
      <c r="H504" s="21" t="s">
        <v>65</v>
      </c>
      <c r="I504" s="22" t="n">
        <v>16</v>
      </c>
      <c r="J504" s="22" t="n">
        <v>0</v>
      </c>
      <c r="K504" s="22" t="n">
        <v>0</v>
      </c>
      <c r="L504" s="22" t="n">
        <f aca="false">G504*I504-J504+K504</f>
        <v>9104</v>
      </c>
    </row>
    <row r="505" customFormat="false" ht="18.75" hidden="false" customHeight="true" outlineLevel="0" collapsed="false">
      <c r="A505" s="17" t="n">
        <v>501</v>
      </c>
      <c r="B505" s="18" t="s">
        <v>371</v>
      </c>
      <c r="C505" s="23" t="s">
        <v>372</v>
      </c>
      <c r="D505" s="9" t="s">
        <v>42</v>
      </c>
      <c r="E505" s="9" t="s">
        <v>520</v>
      </c>
      <c r="F505" s="18" t="s">
        <v>39</v>
      </c>
      <c r="G505" s="19" t="n">
        <v>2</v>
      </c>
      <c r="H505" s="18"/>
      <c r="I505" s="19" t="n">
        <v>17000</v>
      </c>
      <c r="J505" s="19" t="n">
        <v>0</v>
      </c>
      <c r="K505" s="19" t="n">
        <v>0</v>
      </c>
      <c r="L505" s="19" t="n">
        <f aca="false">G505*I505-J505+K505</f>
        <v>34000</v>
      </c>
    </row>
    <row r="506" customFormat="false" ht="18.75" hidden="false" customHeight="true" outlineLevel="0" collapsed="false">
      <c r="A506" s="20" t="n">
        <v>502</v>
      </c>
      <c r="B506" s="21" t="s">
        <v>373</v>
      </c>
      <c r="C506" s="24" t="s">
        <v>372</v>
      </c>
      <c r="D506" s="13" t="s">
        <v>38</v>
      </c>
      <c r="E506" s="13" t="s">
        <v>64</v>
      </c>
      <c r="F506" s="21" t="s">
        <v>39</v>
      </c>
      <c r="G506" s="22" t="n">
        <v>2239</v>
      </c>
      <c r="H506" s="21" t="s">
        <v>65</v>
      </c>
      <c r="I506" s="22" t="n">
        <v>15.5</v>
      </c>
      <c r="J506" s="22" t="n">
        <v>0</v>
      </c>
      <c r="K506" s="22" t="n">
        <v>0</v>
      </c>
      <c r="L506" s="22" t="n">
        <f aca="false">G506*I506-J506+K506</f>
        <v>34704.5</v>
      </c>
    </row>
    <row r="507" customFormat="false" ht="18.75" hidden="false" customHeight="true" outlineLevel="0" collapsed="false">
      <c r="A507" s="17" t="n">
        <v>503</v>
      </c>
      <c r="B507" s="18" t="s">
        <v>373</v>
      </c>
      <c r="C507" s="23" t="s">
        <v>372</v>
      </c>
      <c r="D507" s="9" t="s">
        <v>38</v>
      </c>
      <c r="E507" s="9" t="s">
        <v>532</v>
      </c>
      <c r="F507" s="18" t="s">
        <v>39</v>
      </c>
      <c r="G507" s="19" t="n">
        <v>1994.75</v>
      </c>
      <c r="H507" s="18" t="s">
        <v>65</v>
      </c>
      <c r="I507" s="19" t="n">
        <v>16</v>
      </c>
      <c r="J507" s="19" t="n">
        <v>0</v>
      </c>
      <c r="K507" s="19" t="n">
        <v>0</v>
      </c>
      <c r="L507" s="19" t="n">
        <f aca="false">G507*I507-J507+K507</f>
        <v>31916</v>
      </c>
    </row>
    <row r="508" customFormat="false" ht="18.75" hidden="false" customHeight="true" outlineLevel="0" collapsed="false">
      <c r="A508" s="20" t="n">
        <v>504</v>
      </c>
      <c r="B508" s="21" t="s">
        <v>373</v>
      </c>
      <c r="C508" s="24" t="s">
        <v>372</v>
      </c>
      <c r="D508" s="13" t="s">
        <v>38</v>
      </c>
      <c r="E508" s="13" t="s">
        <v>449</v>
      </c>
      <c r="F508" s="21" t="s">
        <v>39</v>
      </c>
      <c r="G508" s="22" t="n">
        <v>520</v>
      </c>
      <c r="H508" s="21" t="s">
        <v>73</v>
      </c>
      <c r="I508" s="22" t="n">
        <v>10</v>
      </c>
      <c r="J508" s="22" t="n">
        <v>0</v>
      </c>
      <c r="K508" s="22" t="n">
        <v>0</v>
      </c>
      <c r="L508" s="22" t="n">
        <f aca="false">G508*I508-J508+K508</f>
        <v>5200</v>
      </c>
    </row>
    <row r="509" customFormat="false" ht="18.75" hidden="false" customHeight="true" outlineLevel="0" collapsed="false">
      <c r="A509" s="17" t="n">
        <v>505</v>
      </c>
      <c r="B509" s="18" t="s">
        <v>373</v>
      </c>
      <c r="C509" s="23" t="s">
        <v>372</v>
      </c>
      <c r="D509" s="9" t="s">
        <v>38</v>
      </c>
      <c r="E509" s="9" t="s">
        <v>462</v>
      </c>
      <c r="F509" s="18" t="s">
        <v>39</v>
      </c>
      <c r="G509" s="19" t="n">
        <v>20</v>
      </c>
      <c r="H509" s="18" t="s">
        <v>67</v>
      </c>
      <c r="I509" s="19" t="n">
        <v>650</v>
      </c>
      <c r="J509" s="19" t="n">
        <v>0</v>
      </c>
      <c r="K509" s="19" t="n">
        <v>0</v>
      </c>
      <c r="L509" s="19" t="n">
        <f aca="false">G509*I509-J509+K509</f>
        <v>13000</v>
      </c>
    </row>
    <row r="510" customFormat="false" ht="18.75" hidden="false" customHeight="true" outlineLevel="0" collapsed="false">
      <c r="A510" s="20" t="n">
        <v>506</v>
      </c>
      <c r="B510" s="21" t="s">
        <v>373</v>
      </c>
      <c r="C510" s="24" t="s">
        <v>372</v>
      </c>
      <c r="D510" s="13" t="s">
        <v>38</v>
      </c>
      <c r="E510" s="13" t="s">
        <v>76</v>
      </c>
      <c r="F510" s="21" t="s">
        <v>39</v>
      </c>
      <c r="G510" s="22" t="n">
        <v>30</v>
      </c>
      <c r="H510" s="21" t="s">
        <v>67</v>
      </c>
      <c r="I510" s="22" t="n">
        <v>180</v>
      </c>
      <c r="J510" s="22" t="n">
        <v>0</v>
      </c>
      <c r="K510" s="22" t="n">
        <v>0</v>
      </c>
      <c r="L510" s="22" t="n">
        <f aca="false">G510*I510-J510+K510</f>
        <v>5400</v>
      </c>
    </row>
    <row r="511" customFormat="false" ht="18.75" hidden="false" customHeight="true" outlineLevel="0" collapsed="false">
      <c r="A511" s="17" t="n">
        <v>507</v>
      </c>
      <c r="B511" s="18" t="s">
        <v>373</v>
      </c>
      <c r="C511" s="23" t="s">
        <v>372</v>
      </c>
      <c r="D511" s="9" t="s">
        <v>38</v>
      </c>
      <c r="E511" s="9" t="s">
        <v>475</v>
      </c>
      <c r="F511" s="18" t="s">
        <v>39</v>
      </c>
      <c r="G511" s="19" t="n">
        <v>1</v>
      </c>
      <c r="H511" s="18" t="s">
        <v>67</v>
      </c>
      <c r="I511" s="19" t="n">
        <v>1250</v>
      </c>
      <c r="J511" s="19" t="n">
        <v>0</v>
      </c>
      <c r="K511" s="19" t="n">
        <v>0</v>
      </c>
      <c r="L511" s="19" t="n">
        <f aca="false">G511*I511-J511+K511</f>
        <v>1250</v>
      </c>
    </row>
    <row r="512" customFormat="false" ht="18.75" hidden="false" customHeight="true" outlineLevel="0" collapsed="false">
      <c r="A512" s="20" t="n">
        <v>508</v>
      </c>
      <c r="B512" s="21" t="s">
        <v>373</v>
      </c>
      <c r="C512" s="24" t="s">
        <v>372</v>
      </c>
      <c r="D512" s="13" t="s">
        <v>38</v>
      </c>
      <c r="E512" s="13" t="s">
        <v>507</v>
      </c>
      <c r="F512" s="21" t="s">
        <v>39</v>
      </c>
      <c r="G512" s="22" t="n">
        <v>2640</v>
      </c>
      <c r="H512" s="21" t="s">
        <v>67</v>
      </c>
      <c r="I512" s="22" t="n">
        <v>1</v>
      </c>
      <c r="J512" s="22" t="n">
        <v>0</v>
      </c>
      <c r="K512" s="22" t="n">
        <v>0</v>
      </c>
      <c r="L512" s="22" t="n">
        <f aca="false">G512*I512-J512+K512</f>
        <v>2640</v>
      </c>
    </row>
    <row r="513" customFormat="false" ht="18.75" hidden="false" customHeight="true" outlineLevel="0" collapsed="false">
      <c r="A513" s="17" t="n">
        <v>509</v>
      </c>
      <c r="B513" s="18" t="s">
        <v>373</v>
      </c>
      <c r="C513" s="23" t="s">
        <v>372</v>
      </c>
      <c r="D513" s="9" t="s">
        <v>38</v>
      </c>
      <c r="E513" s="9" t="s">
        <v>459</v>
      </c>
      <c r="F513" s="18" t="s">
        <v>39</v>
      </c>
      <c r="G513" s="19" t="n">
        <v>560</v>
      </c>
      <c r="H513" s="18" t="s">
        <v>65</v>
      </c>
      <c r="I513" s="19" t="n">
        <v>16</v>
      </c>
      <c r="J513" s="19" t="n">
        <v>0</v>
      </c>
      <c r="K513" s="19" t="n">
        <v>0</v>
      </c>
      <c r="L513" s="19" t="n">
        <f aca="false">G513*I513-J513+K513</f>
        <v>8960</v>
      </c>
    </row>
    <row r="514" customFormat="false" ht="18.75" hidden="false" customHeight="true" outlineLevel="0" collapsed="false">
      <c r="A514" s="20" t="n">
        <v>510</v>
      </c>
      <c r="B514" s="21" t="s">
        <v>373</v>
      </c>
      <c r="C514" s="24" t="s">
        <v>372</v>
      </c>
      <c r="D514" s="13" t="s">
        <v>38</v>
      </c>
      <c r="E514" s="13" t="s">
        <v>472</v>
      </c>
      <c r="F514" s="21" t="s">
        <v>39</v>
      </c>
      <c r="G514" s="22" t="n">
        <v>50</v>
      </c>
      <c r="H514" s="21" t="s">
        <v>67</v>
      </c>
      <c r="I514" s="22" t="n">
        <v>55</v>
      </c>
      <c r="J514" s="22" t="n">
        <v>0</v>
      </c>
      <c r="K514" s="22" t="n">
        <v>0</v>
      </c>
      <c r="L514" s="22" t="n">
        <f aca="false">G514*I514-J514+K514</f>
        <v>2750</v>
      </c>
    </row>
    <row r="515" customFormat="false" ht="18.75" hidden="false" customHeight="true" outlineLevel="0" collapsed="false">
      <c r="A515" s="17" t="n">
        <v>511</v>
      </c>
      <c r="B515" s="18" t="s">
        <v>374</v>
      </c>
      <c r="C515" s="23" t="s">
        <v>375</v>
      </c>
      <c r="D515" s="9" t="s">
        <v>42</v>
      </c>
      <c r="E515" s="9" t="s">
        <v>64</v>
      </c>
      <c r="F515" s="18" t="s">
        <v>39</v>
      </c>
      <c r="G515" s="19" t="n">
        <v>650</v>
      </c>
      <c r="H515" s="18" t="s">
        <v>65</v>
      </c>
      <c r="I515" s="19" t="n">
        <v>16</v>
      </c>
      <c r="J515" s="19" t="n">
        <v>0</v>
      </c>
      <c r="K515" s="19" t="n">
        <v>0</v>
      </c>
      <c r="L515" s="19" t="n">
        <f aca="false">G515*I515-J515+K515</f>
        <v>10400</v>
      </c>
    </row>
    <row r="516" customFormat="false" ht="18.75" hidden="false" customHeight="true" outlineLevel="0" collapsed="false">
      <c r="A516" s="20" t="n">
        <v>512</v>
      </c>
      <c r="B516" s="21" t="s">
        <v>374</v>
      </c>
      <c r="C516" s="24" t="s">
        <v>375</v>
      </c>
      <c r="D516" s="13" t="s">
        <v>42</v>
      </c>
      <c r="E516" s="13" t="s">
        <v>75</v>
      </c>
      <c r="F516" s="21" t="s">
        <v>39</v>
      </c>
      <c r="G516" s="22" t="n">
        <v>752.5</v>
      </c>
      <c r="H516" s="21" t="s">
        <v>65</v>
      </c>
      <c r="I516" s="22" t="n">
        <v>17</v>
      </c>
      <c r="J516" s="22" t="n">
        <v>0</v>
      </c>
      <c r="K516" s="22" t="n">
        <v>0</v>
      </c>
      <c r="L516" s="22" t="n">
        <f aca="false">G516*I516-J516+K516</f>
        <v>12792.5</v>
      </c>
    </row>
    <row r="517" customFormat="false" ht="18.75" hidden="false" customHeight="true" outlineLevel="0" collapsed="false">
      <c r="A517" s="17" t="n">
        <v>513</v>
      </c>
      <c r="B517" s="18" t="s">
        <v>376</v>
      </c>
      <c r="C517" s="23" t="s">
        <v>377</v>
      </c>
      <c r="D517" s="9" t="s">
        <v>38</v>
      </c>
      <c r="E517" s="9" t="s">
        <v>468</v>
      </c>
      <c r="F517" s="18" t="s">
        <v>39</v>
      </c>
      <c r="G517" s="19" t="n">
        <v>3</v>
      </c>
      <c r="H517" s="18" t="s">
        <v>67</v>
      </c>
      <c r="I517" s="19" t="n">
        <v>1700</v>
      </c>
      <c r="J517" s="19" t="n">
        <v>0</v>
      </c>
      <c r="K517" s="19" t="n">
        <v>0</v>
      </c>
      <c r="L517" s="19" t="n">
        <f aca="false">G517*I517-J517+K517</f>
        <v>5100</v>
      </c>
    </row>
    <row r="518" customFormat="false" ht="18.75" hidden="false" customHeight="true" outlineLevel="0" collapsed="false">
      <c r="A518" s="20" t="n">
        <v>514</v>
      </c>
      <c r="B518" s="21" t="s">
        <v>376</v>
      </c>
      <c r="C518" s="24" t="s">
        <v>377</v>
      </c>
      <c r="D518" s="13" t="s">
        <v>38</v>
      </c>
      <c r="E518" s="13" t="s">
        <v>507</v>
      </c>
      <c r="F518" s="21" t="s">
        <v>39</v>
      </c>
      <c r="G518" s="22" t="n">
        <v>2</v>
      </c>
      <c r="H518" s="21" t="s">
        <v>67</v>
      </c>
      <c r="I518" s="22" t="n">
        <v>2650</v>
      </c>
      <c r="J518" s="22" t="n">
        <v>0</v>
      </c>
      <c r="K518" s="22" t="n">
        <v>0</v>
      </c>
      <c r="L518" s="22" t="n">
        <f aca="false">G518*I518-J518+K518</f>
        <v>5300</v>
      </c>
    </row>
    <row r="519" customFormat="false" ht="18.75" hidden="false" customHeight="true" outlineLevel="0" collapsed="false">
      <c r="A519" s="17" t="n">
        <v>515</v>
      </c>
      <c r="B519" s="18" t="s">
        <v>376</v>
      </c>
      <c r="C519" s="23" t="s">
        <v>377</v>
      </c>
      <c r="D519" s="9" t="s">
        <v>38</v>
      </c>
      <c r="E519" s="9" t="s">
        <v>76</v>
      </c>
      <c r="F519" s="18" t="s">
        <v>39</v>
      </c>
      <c r="G519" s="19" t="n">
        <v>30</v>
      </c>
      <c r="H519" s="18" t="s">
        <v>67</v>
      </c>
      <c r="I519" s="19" t="n">
        <v>180</v>
      </c>
      <c r="J519" s="19" t="n">
        <v>0</v>
      </c>
      <c r="K519" s="19" t="n">
        <v>0</v>
      </c>
      <c r="L519" s="19" t="n">
        <f aca="false">G519*I519-J519+K519</f>
        <v>5400</v>
      </c>
    </row>
    <row r="520" customFormat="false" ht="18.75" hidden="false" customHeight="true" outlineLevel="0" collapsed="false">
      <c r="A520" s="20" t="n">
        <v>516</v>
      </c>
      <c r="B520" s="21" t="s">
        <v>376</v>
      </c>
      <c r="C520" s="24" t="s">
        <v>377</v>
      </c>
      <c r="D520" s="13" t="s">
        <v>38</v>
      </c>
      <c r="E520" s="13" t="s">
        <v>449</v>
      </c>
      <c r="F520" s="21" t="s">
        <v>39</v>
      </c>
      <c r="G520" s="22" t="n">
        <v>130</v>
      </c>
      <c r="H520" s="21" t="s">
        <v>73</v>
      </c>
      <c r="I520" s="22" t="n">
        <v>10</v>
      </c>
      <c r="J520" s="22" t="n">
        <v>0</v>
      </c>
      <c r="K520" s="22" t="n">
        <v>0</v>
      </c>
      <c r="L520" s="22" t="n">
        <f aca="false">G520*I520-J520+K520</f>
        <v>1300</v>
      </c>
    </row>
    <row r="521" customFormat="false" ht="18.75" hidden="false" customHeight="true" outlineLevel="0" collapsed="false">
      <c r="A521" s="17" t="n">
        <v>517</v>
      </c>
      <c r="B521" s="18" t="s">
        <v>376</v>
      </c>
      <c r="C521" s="23" t="s">
        <v>377</v>
      </c>
      <c r="D521" s="9" t="s">
        <v>38</v>
      </c>
      <c r="E521" s="9" t="s">
        <v>64</v>
      </c>
      <c r="F521" s="18" t="s">
        <v>39</v>
      </c>
      <c r="G521" s="19" t="n">
        <v>259</v>
      </c>
      <c r="H521" s="18" t="s">
        <v>65</v>
      </c>
      <c r="I521" s="19" t="n">
        <v>15.5</v>
      </c>
      <c r="J521" s="19" t="n">
        <v>0</v>
      </c>
      <c r="K521" s="19" t="n">
        <v>0</v>
      </c>
      <c r="L521" s="19" t="n">
        <f aca="false">G521*I521-J521+K521</f>
        <v>4014.5</v>
      </c>
    </row>
    <row r="522" customFormat="false" ht="18.75" hidden="false" customHeight="true" outlineLevel="0" collapsed="false">
      <c r="A522" s="20" t="n">
        <v>518</v>
      </c>
      <c r="B522" s="21" t="s">
        <v>376</v>
      </c>
      <c r="C522" s="24" t="s">
        <v>377</v>
      </c>
      <c r="D522" s="13" t="s">
        <v>38</v>
      </c>
      <c r="E522" s="13" t="s">
        <v>69</v>
      </c>
      <c r="F522" s="21" t="s">
        <v>39</v>
      </c>
      <c r="G522" s="22" t="n">
        <v>6</v>
      </c>
      <c r="H522" s="21" t="s">
        <v>67</v>
      </c>
      <c r="I522" s="22" t="n">
        <v>5200</v>
      </c>
      <c r="J522" s="22" t="n">
        <v>0</v>
      </c>
      <c r="K522" s="22" t="n">
        <v>0</v>
      </c>
      <c r="L522" s="22" t="n">
        <f aca="false">G522*I522-J522+K522</f>
        <v>31200</v>
      </c>
    </row>
    <row r="523" customFormat="false" ht="18.75" hidden="false" customHeight="true" outlineLevel="0" collapsed="false">
      <c r="A523" s="17" t="n">
        <v>519</v>
      </c>
      <c r="B523" s="18" t="s">
        <v>378</v>
      </c>
      <c r="C523" s="23" t="s">
        <v>379</v>
      </c>
      <c r="D523" s="9" t="s">
        <v>38</v>
      </c>
      <c r="E523" s="9" t="s">
        <v>64</v>
      </c>
      <c r="F523" s="18" t="s">
        <v>39</v>
      </c>
      <c r="G523" s="19" t="n">
        <v>1215.5</v>
      </c>
      <c r="H523" s="18" t="s">
        <v>65</v>
      </c>
      <c r="I523" s="19" t="n">
        <v>16</v>
      </c>
      <c r="J523" s="19" t="n">
        <v>0</v>
      </c>
      <c r="K523" s="19" t="n">
        <v>0</v>
      </c>
      <c r="L523" s="19" t="n">
        <f aca="false">G523*I523-J523+K523</f>
        <v>19448</v>
      </c>
    </row>
    <row r="524" customFormat="false" ht="18.75" hidden="false" customHeight="true" outlineLevel="0" collapsed="false">
      <c r="A524" s="20" t="n">
        <v>520</v>
      </c>
      <c r="B524" s="21" t="s">
        <v>378</v>
      </c>
      <c r="C524" s="24" t="s">
        <v>379</v>
      </c>
      <c r="D524" s="13" t="s">
        <v>38</v>
      </c>
      <c r="E524" s="13" t="s">
        <v>501</v>
      </c>
      <c r="F524" s="21" t="s">
        <v>39</v>
      </c>
      <c r="G524" s="22" t="n">
        <v>2659.75</v>
      </c>
      <c r="H524" s="21" t="s">
        <v>65</v>
      </c>
      <c r="I524" s="22" t="n">
        <v>15.5</v>
      </c>
      <c r="J524" s="22" t="n">
        <v>0</v>
      </c>
      <c r="K524" s="22" t="n">
        <v>0</v>
      </c>
      <c r="L524" s="22" t="n">
        <f aca="false">G524*I524-J524+K524</f>
        <v>41226.125</v>
      </c>
    </row>
    <row r="525" customFormat="false" ht="18.75" hidden="false" customHeight="true" outlineLevel="0" collapsed="false">
      <c r="A525" s="17" t="n">
        <v>521</v>
      </c>
      <c r="B525" s="18" t="s">
        <v>378</v>
      </c>
      <c r="C525" s="23" t="s">
        <v>379</v>
      </c>
      <c r="D525" s="9" t="s">
        <v>38</v>
      </c>
      <c r="E525" s="9" t="s">
        <v>452</v>
      </c>
      <c r="F525" s="18" t="s">
        <v>39</v>
      </c>
      <c r="G525" s="19" t="n">
        <v>4</v>
      </c>
      <c r="H525" s="18" t="s">
        <v>67</v>
      </c>
      <c r="I525" s="19" t="n">
        <v>1125</v>
      </c>
      <c r="J525" s="19" t="n">
        <v>0</v>
      </c>
      <c r="K525" s="19" t="n">
        <v>0</v>
      </c>
      <c r="L525" s="19" t="n">
        <f aca="false">G525*I525-J525+K525</f>
        <v>4500</v>
      </c>
    </row>
    <row r="526" customFormat="false" ht="18.75" hidden="false" customHeight="true" outlineLevel="0" collapsed="false">
      <c r="A526" s="20" t="n">
        <v>522</v>
      </c>
      <c r="B526" s="21" t="s">
        <v>378</v>
      </c>
      <c r="C526" s="24" t="s">
        <v>379</v>
      </c>
      <c r="D526" s="13" t="s">
        <v>38</v>
      </c>
      <c r="E526" s="13" t="s">
        <v>513</v>
      </c>
      <c r="F526" s="21" t="s">
        <v>39</v>
      </c>
      <c r="G526" s="22" t="n">
        <v>50</v>
      </c>
      <c r="H526" s="21" t="s">
        <v>67</v>
      </c>
      <c r="I526" s="22" t="n">
        <v>100</v>
      </c>
      <c r="J526" s="22" t="n">
        <v>0</v>
      </c>
      <c r="K526" s="22" t="n">
        <v>0</v>
      </c>
      <c r="L526" s="22" t="n">
        <f aca="false">G526*I526-J526+K526</f>
        <v>5000</v>
      </c>
    </row>
    <row r="527" customFormat="false" ht="18.75" hidden="false" customHeight="true" outlineLevel="0" collapsed="false">
      <c r="A527" s="17" t="n">
        <v>523</v>
      </c>
      <c r="B527" s="18" t="s">
        <v>380</v>
      </c>
      <c r="C527" s="23" t="s">
        <v>381</v>
      </c>
      <c r="D527" s="9" t="s">
        <v>42</v>
      </c>
      <c r="E527" s="9" t="s">
        <v>457</v>
      </c>
      <c r="F527" s="18" t="s">
        <v>39</v>
      </c>
      <c r="G527" s="19" t="n">
        <v>1</v>
      </c>
      <c r="H527" s="18" t="s">
        <v>67</v>
      </c>
      <c r="I527" s="19" t="n">
        <v>6200</v>
      </c>
      <c r="J527" s="19" t="n">
        <v>0</v>
      </c>
      <c r="K527" s="19" t="n">
        <v>0</v>
      </c>
      <c r="L527" s="19" t="n">
        <f aca="false">G527*I527-J527+K527</f>
        <v>6200</v>
      </c>
    </row>
    <row r="528" customFormat="false" ht="18.75" hidden="false" customHeight="true" outlineLevel="0" collapsed="false">
      <c r="A528" s="20" t="n">
        <v>524</v>
      </c>
      <c r="B528" s="21" t="s">
        <v>380</v>
      </c>
      <c r="C528" s="24" t="s">
        <v>381</v>
      </c>
      <c r="D528" s="13" t="s">
        <v>42</v>
      </c>
      <c r="E528" s="13" t="s">
        <v>513</v>
      </c>
      <c r="F528" s="21" t="s">
        <v>39</v>
      </c>
      <c r="G528" s="22" t="n">
        <v>200</v>
      </c>
      <c r="H528" s="21" t="s">
        <v>67</v>
      </c>
      <c r="I528" s="22" t="n">
        <v>120</v>
      </c>
      <c r="J528" s="22" t="n">
        <v>0</v>
      </c>
      <c r="K528" s="22" t="n">
        <v>0</v>
      </c>
      <c r="L528" s="22" t="n">
        <f aca="false">G528*I528-J528+K528</f>
        <v>24000</v>
      </c>
    </row>
    <row r="529" customFormat="false" ht="18.75" hidden="false" customHeight="true" outlineLevel="0" collapsed="false">
      <c r="A529" s="17" t="n">
        <v>525</v>
      </c>
      <c r="B529" s="18" t="s">
        <v>382</v>
      </c>
      <c r="C529" s="23" t="s">
        <v>383</v>
      </c>
      <c r="D529" s="9" t="s">
        <v>38</v>
      </c>
      <c r="E529" s="9" t="s">
        <v>64</v>
      </c>
      <c r="F529" s="18" t="s">
        <v>39</v>
      </c>
      <c r="G529" s="19" t="n">
        <v>963</v>
      </c>
      <c r="H529" s="18" t="s">
        <v>65</v>
      </c>
      <c r="I529" s="19" t="n">
        <v>17</v>
      </c>
      <c r="J529" s="19" t="n">
        <v>0</v>
      </c>
      <c r="K529" s="19" t="n">
        <v>0</v>
      </c>
      <c r="L529" s="19" t="n">
        <f aca="false">G529*I529-J529+K529</f>
        <v>16371</v>
      </c>
    </row>
    <row r="530" customFormat="false" ht="18.75" hidden="false" customHeight="true" outlineLevel="0" collapsed="false">
      <c r="A530" s="20" t="n">
        <v>526</v>
      </c>
      <c r="B530" s="21" t="s">
        <v>382</v>
      </c>
      <c r="C530" s="24" t="s">
        <v>383</v>
      </c>
      <c r="D530" s="13" t="s">
        <v>38</v>
      </c>
      <c r="E530" s="13" t="s">
        <v>64</v>
      </c>
      <c r="F530" s="21" t="s">
        <v>39</v>
      </c>
      <c r="G530" s="22" t="n">
        <v>264.75</v>
      </c>
      <c r="H530" s="21" t="s">
        <v>65</v>
      </c>
      <c r="I530" s="22" t="n">
        <v>16</v>
      </c>
      <c r="J530" s="22" t="n">
        <v>0</v>
      </c>
      <c r="K530" s="22" t="n">
        <v>0</v>
      </c>
      <c r="L530" s="22" t="n">
        <f aca="false">G530*I530-J530+K530</f>
        <v>4236</v>
      </c>
    </row>
    <row r="531" customFormat="false" ht="18.75" hidden="false" customHeight="true" outlineLevel="0" collapsed="false">
      <c r="A531" s="17" t="n">
        <v>527</v>
      </c>
      <c r="B531" s="18" t="s">
        <v>382</v>
      </c>
      <c r="C531" s="23" t="s">
        <v>383</v>
      </c>
      <c r="D531" s="9" t="s">
        <v>38</v>
      </c>
      <c r="E531" s="9" t="s">
        <v>477</v>
      </c>
      <c r="F531" s="18" t="s">
        <v>39</v>
      </c>
      <c r="G531" s="19" t="n">
        <v>1</v>
      </c>
      <c r="H531" s="18" t="s">
        <v>67</v>
      </c>
      <c r="I531" s="19" t="n">
        <v>2400</v>
      </c>
      <c r="J531" s="19" t="n">
        <v>0</v>
      </c>
      <c r="K531" s="19" t="n">
        <v>0</v>
      </c>
      <c r="L531" s="19" t="n">
        <f aca="false">G531*I531-J531+K531</f>
        <v>2400</v>
      </c>
    </row>
    <row r="532" customFormat="false" ht="18.75" hidden="false" customHeight="true" outlineLevel="0" collapsed="false">
      <c r="A532" s="20" t="n">
        <v>528</v>
      </c>
      <c r="B532" s="21" t="s">
        <v>384</v>
      </c>
      <c r="C532" s="24" t="s">
        <v>385</v>
      </c>
      <c r="D532" s="13" t="s">
        <v>38</v>
      </c>
      <c r="E532" s="13" t="s">
        <v>64</v>
      </c>
      <c r="F532" s="21" t="s">
        <v>39</v>
      </c>
      <c r="G532" s="22" t="n">
        <v>6021.25</v>
      </c>
      <c r="H532" s="21" t="s">
        <v>65</v>
      </c>
      <c r="I532" s="22" t="n">
        <v>15.5</v>
      </c>
      <c r="J532" s="22" t="n">
        <v>0</v>
      </c>
      <c r="K532" s="22" t="n">
        <v>0</v>
      </c>
      <c r="L532" s="22" t="n">
        <f aca="false">G532*I532-J532+K532</f>
        <v>93329.375</v>
      </c>
    </row>
    <row r="533" customFormat="false" ht="18.75" hidden="false" customHeight="true" outlineLevel="0" collapsed="false">
      <c r="A533" s="17" t="n">
        <v>529</v>
      </c>
      <c r="B533" s="18" t="s">
        <v>384</v>
      </c>
      <c r="C533" s="23" t="s">
        <v>385</v>
      </c>
      <c r="D533" s="9" t="s">
        <v>38</v>
      </c>
      <c r="E533" s="9" t="s">
        <v>513</v>
      </c>
      <c r="F533" s="18" t="s">
        <v>39</v>
      </c>
      <c r="G533" s="19" t="n">
        <v>100</v>
      </c>
      <c r="H533" s="18" t="s">
        <v>67</v>
      </c>
      <c r="I533" s="19" t="n">
        <v>100</v>
      </c>
      <c r="J533" s="19" t="n">
        <v>0</v>
      </c>
      <c r="K533" s="19" t="n">
        <v>0</v>
      </c>
      <c r="L533" s="19" t="n">
        <f aca="false">G533*I533-J533+K533</f>
        <v>10000</v>
      </c>
    </row>
    <row r="534" customFormat="false" ht="18.75" hidden="false" customHeight="true" outlineLevel="0" collapsed="false">
      <c r="A534" s="20" t="n">
        <v>530</v>
      </c>
      <c r="B534" s="21" t="s">
        <v>386</v>
      </c>
      <c r="C534" s="24" t="s">
        <v>387</v>
      </c>
      <c r="D534" s="13" t="s">
        <v>38</v>
      </c>
      <c r="E534" s="13" t="s">
        <v>530</v>
      </c>
      <c r="F534" s="21" t="s">
        <v>39</v>
      </c>
      <c r="G534" s="22" t="n">
        <v>16</v>
      </c>
      <c r="H534" s="21" t="s">
        <v>67</v>
      </c>
      <c r="I534" s="22" t="n">
        <v>550</v>
      </c>
      <c r="J534" s="22" t="n">
        <v>0</v>
      </c>
      <c r="K534" s="22" t="n">
        <v>0</v>
      </c>
      <c r="L534" s="22" t="n">
        <f aca="false">G534*I534-J534+K534</f>
        <v>8800</v>
      </c>
    </row>
    <row r="535" customFormat="false" ht="18.75" hidden="false" customHeight="true" outlineLevel="0" collapsed="false">
      <c r="A535" s="17" t="n">
        <v>531</v>
      </c>
      <c r="B535" s="18" t="s">
        <v>386</v>
      </c>
      <c r="C535" s="23" t="s">
        <v>387</v>
      </c>
      <c r="D535" s="9" t="s">
        <v>38</v>
      </c>
      <c r="E535" s="9" t="s">
        <v>64</v>
      </c>
      <c r="F535" s="18" t="s">
        <v>39</v>
      </c>
      <c r="G535" s="19" t="n">
        <v>6057</v>
      </c>
      <c r="H535" s="18" t="s">
        <v>65</v>
      </c>
      <c r="I535" s="19" t="n">
        <v>15.5</v>
      </c>
      <c r="J535" s="19" t="n">
        <v>0</v>
      </c>
      <c r="K535" s="19" t="n">
        <v>0</v>
      </c>
      <c r="L535" s="19" t="n">
        <f aca="false">G535*I535-J535+K535</f>
        <v>93883.5</v>
      </c>
    </row>
    <row r="536" customFormat="false" ht="18.75" hidden="false" customHeight="true" outlineLevel="0" collapsed="false">
      <c r="A536" s="20" t="n">
        <v>532</v>
      </c>
      <c r="B536" s="21" t="s">
        <v>388</v>
      </c>
      <c r="C536" s="24" t="s">
        <v>389</v>
      </c>
      <c r="D536" s="13" t="s">
        <v>42</v>
      </c>
      <c r="E536" s="13" t="s">
        <v>64</v>
      </c>
      <c r="F536" s="21" t="s">
        <v>39</v>
      </c>
      <c r="G536" s="22" t="n">
        <v>4804.75</v>
      </c>
      <c r="H536" s="21" t="s">
        <v>65</v>
      </c>
      <c r="I536" s="22" t="n">
        <v>15.5</v>
      </c>
      <c r="J536" s="22" t="n">
        <v>0</v>
      </c>
      <c r="K536" s="22" t="n">
        <v>0</v>
      </c>
      <c r="L536" s="22" t="n">
        <f aca="false">G536*I536-J536+K536</f>
        <v>74473.625</v>
      </c>
    </row>
    <row r="537" customFormat="false" ht="18.75" hidden="false" customHeight="true" outlineLevel="0" collapsed="false">
      <c r="A537" s="17" t="n">
        <v>533</v>
      </c>
      <c r="B537" s="18" t="s">
        <v>390</v>
      </c>
      <c r="C537" s="23" t="s">
        <v>389</v>
      </c>
      <c r="D537" s="9" t="s">
        <v>42</v>
      </c>
      <c r="E537" s="9" t="s">
        <v>457</v>
      </c>
      <c r="F537" s="18" t="s">
        <v>39</v>
      </c>
      <c r="G537" s="19" t="n">
        <v>4</v>
      </c>
      <c r="H537" s="18" t="s">
        <v>67</v>
      </c>
      <c r="I537" s="19" t="n">
        <v>3900</v>
      </c>
      <c r="J537" s="19" t="n">
        <v>0</v>
      </c>
      <c r="K537" s="19" t="n">
        <v>0</v>
      </c>
      <c r="L537" s="19" t="n">
        <f aca="false">G537*I537-J537+K537</f>
        <v>15600</v>
      </c>
    </row>
    <row r="538" customFormat="false" ht="18.75" hidden="false" customHeight="true" outlineLevel="0" collapsed="false">
      <c r="A538" s="20" t="n">
        <v>534</v>
      </c>
      <c r="B538" s="21" t="s">
        <v>391</v>
      </c>
      <c r="C538" s="24" t="s">
        <v>392</v>
      </c>
      <c r="D538" s="13" t="s">
        <v>38</v>
      </c>
      <c r="E538" s="13" t="s">
        <v>66</v>
      </c>
      <c r="F538" s="21" t="s">
        <v>39</v>
      </c>
      <c r="G538" s="22" t="n">
        <v>300</v>
      </c>
      <c r="H538" s="21" t="s">
        <v>67</v>
      </c>
      <c r="I538" s="22" t="n">
        <v>240</v>
      </c>
      <c r="J538" s="22" t="n">
        <v>0</v>
      </c>
      <c r="K538" s="22" t="n">
        <v>0</v>
      </c>
      <c r="L538" s="22" t="n">
        <f aca="false">G538*I538-J538+K538</f>
        <v>72000</v>
      </c>
    </row>
    <row r="539" customFormat="false" ht="18.75" hidden="false" customHeight="true" outlineLevel="0" collapsed="false">
      <c r="A539" s="17" t="n">
        <v>535</v>
      </c>
      <c r="B539" s="18" t="s">
        <v>393</v>
      </c>
      <c r="C539" s="23" t="s">
        <v>394</v>
      </c>
      <c r="D539" s="9" t="s">
        <v>38</v>
      </c>
      <c r="E539" s="9" t="s">
        <v>514</v>
      </c>
      <c r="F539" s="18" t="s">
        <v>39</v>
      </c>
      <c r="G539" s="19" t="n">
        <v>160</v>
      </c>
      <c r="H539" s="18" t="s">
        <v>67</v>
      </c>
      <c r="I539" s="19" t="n">
        <v>320</v>
      </c>
      <c r="J539" s="19" t="n">
        <v>0</v>
      </c>
      <c r="K539" s="19" t="n">
        <v>0</v>
      </c>
      <c r="L539" s="19" t="n">
        <f aca="false">G539*I539-J539+K539</f>
        <v>51200</v>
      </c>
    </row>
    <row r="540" customFormat="false" ht="18.75" hidden="false" customHeight="true" outlineLevel="0" collapsed="false">
      <c r="A540" s="20" t="n">
        <v>536</v>
      </c>
      <c r="B540" s="21" t="s">
        <v>393</v>
      </c>
      <c r="C540" s="24" t="s">
        <v>394</v>
      </c>
      <c r="D540" s="13" t="s">
        <v>38</v>
      </c>
      <c r="E540" s="13" t="s">
        <v>69</v>
      </c>
      <c r="F540" s="21" t="s">
        <v>39</v>
      </c>
      <c r="G540" s="22" t="n">
        <v>6</v>
      </c>
      <c r="H540" s="21" t="s">
        <v>67</v>
      </c>
      <c r="I540" s="22" t="n">
        <v>4900</v>
      </c>
      <c r="J540" s="22" t="n">
        <v>0</v>
      </c>
      <c r="K540" s="22" t="n">
        <v>0</v>
      </c>
      <c r="L540" s="22" t="n">
        <f aca="false">G540*I540-J540+K540</f>
        <v>29400</v>
      </c>
    </row>
    <row r="541" customFormat="false" ht="18.75" hidden="false" customHeight="true" outlineLevel="0" collapsed="false">
      <c r="A541" s="17" t="n">
        <v>537</v>
      </c>
      <c r="B541" s="18" t="s">
        <v>393</v>
      </c>
      <c r="C541" s="23" t="s">
        <v>394</v>
      </c>
      <c r="D541" s="9" t="s">
        <v>38</v>
      </c>
      <c r="E541" s="9" t="s">
        <v>76</v>
      </c>
      <c r="F541" s="18" t="s">
        <v>39</v>
      </c>
      <c r="G541" s="19" t="n">
        <v>60</v>
      </c>
      <c r="H541" s="18" t="s">
        <v>67</v>
      </c>
      <c r="I541" s="19" t="n">
        <v>185</v>
      </c>
      <c r="J541" s="19" t="n">
        <v>0</v>
      </c>
      <c r="K541" s="19" t="n">
        <v>0</v>
      </c>
      <c r="L541" s="19" t="n">
        <f aca="false">G541*I541-J541+K541</f>
        <v>11100</v>
      </c>
    </row>
    <row r="542" customFormat="false" ht="18.75" hidden="false" customHeight="true" outlineLevel="0" collapsed="false">
      <c r="A542" s="20" t="n">
        <v>538</v>
      </c>
      <c r="B542" s="21" t="s">
        <v>393</v>
      </c>
      <c r="C542" s="24" t="s">
        <v>394</v>
      </c>
      <c r="D542" s="13" t="s">
        <v>38</v>
      </c>
      <c r="E542" s="13" t="s">
        <v>451</v>
      </c>
      <c r="F542" s="21" t="s">
        <v>39</v>
      </c>
      <c r="G542" s="22" t="n">
        <v>1</v>
      </c>
      <c r="H542" s="21"/>
      <c r="I542" s="22" t="n">
        <v>3800</v>
      </c>
      <c r="J542" s="22" t="n">
        <v>0</v>
      </c>
      <c r="K542" s="22" t="n">
        <v>0</v>
      </c>
      <c r="L542" s="22" t="n">
        <f aca="false">G542*I542-J542+K542</f>
        <v>3800</v>
      </c>
    </row>
    <row r="543" customFormat="false" ht="18.75" hidden="false" customHeight="true" outlineLevel="0" collapsed="false">
      <c r="A543" s="17" t="n">
        <v>539</v>
      </c>
      <c r="B543" s="18" t="s">
        <v>395</v>
      </c>
      <c r="C543" s="23" t="s">
        <v>396</v>
      </c>
      <c r="D543" s="9" t="s">
        <v>38</v>
      </c>
      <c r="E543" s="9" t="s">
        <v>534</v>
      </c>
      <c r="F543" s="18" t="s">
        <v>39</v>
      </c>
      <c r="G543" s="19" t="n">
        <v>575</v>
      </c>
      <c r="H543" s="18" t="s">
        <v>67</v>
      </c>
      <c r="I543" s="19" t="n">
        <v>20</v>
      </c>
      <c r="J543" s="19" t="n">
        <v>0</v>
      </c>
      <c r="K543" s="19" t="n">
        <v>0</v>
      </c>
      <c r="L543" s="19" t="n">
        <f aca="false">G543*I543-J543+K543</f>
        <v>11500</v>
      </c>
    </row>
    <row r="544" customFormat="false" ht="18.75" hidden="false" customHeight="true" outlineLevel="0" collapsed="false">
      <c r="A544" s="20" t="n">
        <v>540</v>
      </c>
      <c r="B544" s="21" t="s">
        <v>395</v>
      </c>
      <c r="C544" s="24" t="s">
        <v>396</v>
      </c>
      <c r="D544" s="13" t="s">
        <v>38</v>
      </c>
      <c r="E544" s="13" t="s">
        <v>526</v>
      </c>
      <c r="F544" s="21" t="s">
        <v>39</v>
      </c>
      <c r="G544" s="22" t="n">
        <v>10</v>
      </c>
      <c r="H544" s="21" t="s">
        <v>67</v>
      </c>
      <c r="I544" s="22" t="n">
        <v>360</v>
      </c>
      <c r="J544" s="22" t="n">
        <v>0</v>
      </c>
      <c r="K544" s="22" t="n">
        <v>0</v>
      </c>
      <c r="L544" s="22" t="n">
        <f aca="false">G544*I544-J544+K544</f>
        <v>3600</v>
      </c>
    </row>
    <row r="545" customFormat="false" ht="18.75" hidden="false" customHeight="true" outlineLevel="0" collapsed="false">
      <c r="A545" s="17" t="n">
        <v>541</v>
      </c>
      <c r="B545" s="18" t="s">
        <v>395</v>
      </c>
      <c r="C545" s="23" t="s">
        <v>396</v>
      </c>
      <c r="D545" s="9" t="s">
        <v>38</v>
      </c>
      <c r="E545" s="9" t="s">
        <v>527</v>
      </c>
      <c r="F545" s="18" t="s">
        <v>39</v>
      </c>
      <c r="G545" s="19" t="n">
        <v>10</v>
      </c>
      <c r="H545" s="18" t="s">
        <v>67</v>
      </c>
      <c r="I545" s="19" t="n">
        <v>650</v>
      </c>
      <c r="J545" s="19" t="n">
        <v>0</v>
      </c>
      <c r="K545" s="19" t="n">
        <v>0</v>
      </c>
      <c r="L545" s="19" t="n">
        <f aca="false">G545*I545-J545+K545</f>
        <v>6500</v>
      </c>
    </row>
    <row r="546" customFormat="false" ht="18.75" hidden="false" customHeight="true" outlineLevel="0" collapsed="false">
      <c r="A546" s="20" t="n">
        <v>542</v>
      </c>
      <c r="B546" s="21" t="s">
        <v>395</v>
      </c>
      <c r="C546" s="24" t="s">
        <v>396</v>
      </c>
      <c r="D546" s="13" t="s">
        <v>38</v>
      </c>
      <c r="E546" s="13" t="s">
        <v>521</v>
      </c>
      <c r="F546" s="21" t="s">
        <v>39</v>
      </c>
      <c r="G546" s="22" t="n">
        <v>600</v>
      </c>
      <c r="H546" s="21" t="s">
        <v>67</v>
      </c>
      <c r="I546" s="22" t="n">
        <v>41</v>
      </c>
      <c r="J546" s="22" t="n">
        <v>0</v>
      </c>
      <c r="K546" s="22" t="n">
        <v>0</v>
      </c>
      <c r="L546" s="22" t="n">
        <f aca="false">G546*I546-J546+K546</f>
        <v>24600</v>
      </c>
    </row>
    <row r="547" customFormat="false" ht="18.75" hidden="false" customHeight="true" outlineLevel="0" collapsed="false">
      <c r="A547" s="17" t="n">
        <v>543</v>
      </c>
      <c r="B547" s="18" t="s">
        <v>395</v>
      </c>
      <c r="C547" s="23" t="s">
        <v>396</v>
      </c>
      <c r="D547" s="9" t="s">
        <v>38</v>
      </c>
      <c r="E547" s="9" t="s">
        <v>456</v>
      </c>
      <c r="F547" s="18" t="s">
        <v>39</v>
      </c>
      <c r="G547" s="19" t="n">
        <v>138.4</v>
      </c>
      <c r="H547" s="18" t="s">
        <v>65</v>
      </c>
      <c r="I547" s="19" t="n">
        <v>55</v>
      </c>
      <c r="J547" s="19" t="n">
        <v>0</v>
      </c>
      <c r="K547" s="19" t="n">
        <v>0</v>
      </c>
      <c r="L547" s="19" t="n">
        <f aca="false">G547*I547-J547+K547</f>
        <v>7612</v>
      </c>
    </row>
    <row r="548" customFormat="false" ht="18.75" hidden="false" customHeight="true" outlineLevel="0" collapsed="false">
      <c r="A548" s="20" t="n">
        <v>544</v>
      </c>
      <c r="B548" s="21" t="s">
        <v>395</v>
      </c>
      <c r="C548" s="24" t="s">
        <v>396</v>
      </c>
      <c r="D548" s="13" t="s">
        <v>38</v>
      </c>
      <c r="E548" s="13" t="s">
        <v>508</v>
      </c>
      <c r="F548" s="21" t="s">
        <v>39</v>
      </c>
      <c r="G548" s="22" t="n">
        <v>60</v>
      </c>
      <c r="H548" s="21" t="s">
        <v>67</v>
      </c>
      <c r="I548" s="22" t="n">
        <v>575</v>
      </c>
      <c r="J548" s="22" t="n">
        <v>0</v>
      </c>
      <c r="K548" s="22" t="n">
        <v>0</v>
      </c>
      <c r="L548" s="22" t="n">
        <f aca="false">G548*I548-J548+K548</f>
        <v>34500</v>
      </c>
    </row>
    <row r="549" customFormat="false" ht="18.75" hidden="false" customHeight="true" outlineLevel="0" collapsed="false">
      <c r="A549" s="17" t="n">
        <v>545</v>
      </c>
      <c r="B549" s="18" t="s">
        <v>395</v>
      </c>
      <c r="C549" s="23" t="s">
        <v>396</v>
      </c>
      <c r="D549" s="9" t="s">
        <v>38</v>
      </c>
      <c r="E549" s="9" t="s">
        <v>64</v>
      </c>
      <c r="F549" s="18" t="s">
        <v>39</v>
      </c>
      <c r="G549" s="19" t="n">
        <v>3247</v>
      </c>
      <c r="H549" s="18" t="s">
        <v>65</v>
      </c>
      <c r="I549" s="19" t="n">
        <v>16</v>
      </c>
      <c r="J549" s="19" t="n">
        <v>0</v>
      </c>
      <c r="K549" s="19" t="n">
        <v>0</v>
      </c>
      <c r="L549" s="19" t="n">
        <f aca="false">G549*I549-J549+K549</f>
        <v>51952</v>
      </c>
    </row>
    <row r="550" customFormat="false" ht="18.75" hidden="false" customHeight="true" outlineLevel="0" collapsed="false">
      <c r="A550" s="20" t="n">
        <v>546</v>
      </c>
      <c r="B550" s="21" t="s">
        <v>397</v>
      </c>
      <c r="C550" s="24" t="s">
        <v>398</v>
      </c>
      <c r="D550" s="13" t="s">
        <v>38</v>
      </c>
      <c r="E550" s="13" t="s">
        <v>535</v>
      </c>
      <c r="F550" s="21" t="s">
        <v>39</v>
      </c>
      <c r="G550" s="22" t="n">
        <v>600</v>
      </c>
      <c r="H550" s="21" t="s">
        <v>67</v>
      </c>
      <c r="I550" s="22" t="n">
        <v>248</v>
      </c>
      <c r="J550" s="22" t="n">
        <v>0</v>
      </c>
      <c r="K550" s="22" t="n">
        <v>0</v>
      </c>
      <c r="L550" s="22" t="n">
        <f aca="false">G550*I550-J550+K550</f>
        <v>148800</v>
      </c>
    </row>
    <row r="551" customFormat="false" ht="18.75" hidden="false" customHeight="true" outlineLevel="0" collapsed="false">
      <c r="A551" s="17" t="n">
        <v>547</v>
      </c>
      <c r="B551" s="18" t="s">
        <v>399</v>
      </c>
      <c r="C551" s="23" t="s">
        <v>400</v>
      </c>
      <c r="D551" s="9" t="s">
        <v>38</v>
      </c>
      <c r="E551" s="9" t="s">
        <v>64</v>
      </c>
      <c r="F551" s="18" t="s">
        <v>39</v>
      </c>
      <c r="G551" s="19" t="n">
        <v>5711.75</v>
      </c>
      <c r="H551" s="18" t="s">
        <v>65</v>
      </c>
      <c r="I551" s="19" t="n">
        <v>16</v>
      </c>
      <c r="J551" s="19" t="n">
        <v>0</v>
      </c>
      <c r="K551" s="19" t="n">
        <v>0</v>
      </c>
      <c r="L551" s="19" t="n">
        <f aca="false">G551*I551-J551+K551</f>
        <v>91388</v>
      </c>
    </row>
    <row r="552" customFormat="false" ht="18.75" hidden="false" customHeight="true" outlineLevel="0" collapsed="false">
      <c r="A552" s="20" t="n">
        <v>548</v>
      </c>
      <c r="B552" s="21" t="s">
        <v>399</v>
      </c>
      <c r="C552" s="24" t="s">
        <v>400</v>
      </c>
      <c r="D552" s="13" t="s">
        <v>38</v>
      </c>
      <c r="E552" s="13" t="s">
        <v>452</v>
      </c>
      <c r="F552" s="21" t="s">
        <v>39</v>
      </c>
      <c r="G552" s="22" t="n">
        <v>4</v>
      </c>
      <c r="H552" s="21" t="s">
        <v>67</v>
      </c>
      <c r="I552" s="22" t="n">
        <v>1125</v>
      </c>
      <c r="J552" s="22" t="n">
        <v>0</v>
      </c>
      <c r="K552" s="22" t="n">
        <v>0</v>
      </c>
      <c r="L552" s="22" t="n">
        <f aca="false">G552*I552-J552+K552</f>
        <v>4500</v>
      </c>
    </row>
    <row r="553" customFormat="false" ht="18.75" hidden="false" customHeight="true" outlineLevel="0" collapsed="false">
      <c r="A553" s="17" t="n">
        <v>549</v>
      </c>
      <c r="B553" s="18" t="s">
        <v>399</v>
      </c>
      <c r="C553" s="23" t="s">
        <v>400</v>
      </c>
      <c r="D553" s="9" t="s">
        <v>38</v>
      </c>
      <c r="E553" s="9" t="s">
        <v>453</v>
      </c>
      <c r="F553" s="18" t="s">
        <v>39</v>
      </c>
      <c r="G553" s="19" t="n">
        <v>2</v>
      </c>
      <c r="H553" s="18"/>
      <c r="I553" s="19" t="n">
        <v>1600</v>
      </c>
      <c r="J553" s="19" t="n">
        <v>0</v>
      </c>
      <c r="K553" s="19" t="n">
        <v>0</v>
      </c>
      <c r="L553" s="19" t="n">
        <f aca="false">G553*I553-J553+K553</f>
        <v>3200</v>
      </c>
    </row>
    <row r="554" customFormat="false" ht="18.75" hidden="false" customHeight="true" outlineLevel="0" collapsed="false">
      <c r="A554" s="20" t="n">
        <v>550</v>
      </c>
      <c r="B554" s="21" t="s">
        <v>404</v>
      </c>
      <c r="C554" s="24" t="s">
        <v>405</v>
      </c>
      <c r="D554" s="13" t="s">
        <v>38</v>
      </c>
      <c r="E554" s="13" t="s">
        <v>66</v>
      </c>
      <c r="F554" s="21" t="s">
        <v>39</v>
      </c>
      <c r="G554" s="22" t="n">
        <v>200</v>
      </c>
      <c r="H554" s="21" t="s">
        <v>67</v>
      </c>
      <c r="I554" s="22" t="n">
        <v>244</v>
      </c>
      <c r="J554" s="22" t="n">
        <v>0</v>
      </c>
      <c r="K554" s="22" t="n">
        <v>0</v>
      </c>
      <c r="L554" s="22" t="n">
        <f aca="false">G554*I554-J554+K554</f>
        <v>48800</v>
      </c>
    </row>
    <row r="555" customFormat="false" ht="18.75" hidden="false" customHeight="true" outlineLevel="0" collapsed="false">
      <c r="A555" s="17" t="n">
        <v>551</v>
      </c>
      <c r="B555" s="18" t="s">
        <v>406</v>
      </c>
      <c r="C555" s="23" t="s">
        <v>407</v>
      </c>
      <c r="D555" s="9" t="s">
        <v>38</v>
      </c>
      <c r="E555" s="9" t="s">
        <v>505</v>
      </c>
      <c r="F555" s="18" t="s">
        <v>39</v>
      </c>
      <c r="G555" s="19" t="n">
        <v>10</v>
      </c>
      <c r="H555" s="18" t="s">
        <v>67</v>
      </c>
      <c r="I555" s="19" t="n">
        <v>575</v>
      </c>
      <c r="J555" s="19" t="n">
        <v>0</v>
      </c>
      <c r="K555" s="19" t="n">
        <v>0</v>
      </c>
      <c r="L555" s="19" t="n">
        <f aca="false">G555*I555-J555+K555</f>
        <v>5750</v>
      </c>
    </row>
    <row r="556" customFormat="false" ht="18.75" hidden="false" customHeight="true" outlineLevel="0" collapsed="false">
      <c r="A556" s="20" t="n">
        <v>552</v>
      </c>
      <c r="B556" s="21" t="s">
        <v>406</v>
      </c>
      <c r="C556" s="24" t="s">
        <v>407</v>
      </c>
      <c r="D556" s="13" t="s">
        <v>38</v>
      </c>
      <c r="E556" s="13" t="s">
        <v>64</v>
      </c>
      <c r="F556" s="21" t="s">
        <v>39</v>
      </c>
      <c r="G556" s="22" t="n">
        <v>713</v>
      </c>
      <c r="H556" s="21" t="s">
        <v>65</v>
      </c>
      <c r="I556" s="22" t="n">
        <v>16</v>
      </c>
      <c r="J556" s="22" t="n">
        <v>0</v>
      </c>
      <c r="K556" s="22" t="n">
        <v>0</v>
      </c>
      <c r="L556" s="22" t="n">
        <f aca="false">G556*I556-J556+K556</f>
        <v>11408</v>
      </c>
    </row>
    <row r="557" customFormat="false" ht="18.75" hidden="false" customHeight="true" outlineLevel="0" collapsed="false">
      <c r="A557" s="17" t="n">
        <v>553</v>
      </c>
      <c r="B557" s="18" t="s">
        <v>408</v>
      </c>
      <c r="C557" s="23" t="s">
        <v>409</v>
      </c>
      <c r="D557" s="9" t="s">
        <v>38</v>
      </c>
      <c r="E557" s="9" t="s">
        <v>447</v>
      </c>
      <c r="F557" s="18" t="s">
        <v>39</v>
      </c>
      <c r="G557" s="19" t="n">
        <v>6</v>
      </c>
      <c r="H557" s="18" t="s">
        <v>67</v>
      </c>
      <c r="I557" s="19" t="n">
        <v>4900</v>
      </c>
      <c r="J557" s="19" t="n">
        <v>0</v>
      </c>
      <c r="K557" s="19" t="n">
        <v>0</v>
      </c>
      <c r="L557" s="19" t="n">
        <f aca="false">G557*I557-J557+K557</f>
        <v>29400</v>
      </c>
    </row>
    <row r="558" customFormat="false" ht="18.75" hidden="false" customHeight="true" outlineLevel="0" collapsed="false">
      <c r="A558" s="20" t="n">
        <v>554</v>
      </c>
      <c r="B558" s="21" t="s">
        <v>408</v>
      </c>
      <c r="C558" s="24" t="s">
        <v>409</v>
      </c>
      <c r="D558" s="13" t="s">
        <v>38</v>
      </c>
      <c r="E558" s="13" t="s">
        <v>69</v>
      </c>
      <c r="F558" s="21" t="s">
        <v>39</v>
      </c>
      <c r="G558" s="22" t="n">
        <v>2</v>
      </c>
      <c r="H558" s="21" t="s">
        <v>67</v>
      </c>
      <c r="I558" s="22" t="n">
        <v>4800</v>
      </c>
      <c r="J558" s="22" t="n">
        <v>0</v>
      </c>
      <c r="K558" s="22" t="n">
        <v>0</v>
      </c>
      <c r="L558" s="22" t="n">
        <f aca="false">G558*I558-J558+K558</f>
        <v>9600</v>
      </c>
    </row>
    <row r="559" customFormat="false" ht="18.75" hidden="false" customHeight="true" outlineLevel="0" collapsed="false">
      <c r="A559" s="17" t="n">
        <v>555</v>
      </c>
      <c r="B559" s="18" t="s">
        <v>408</v>
      </c>
      <c r="C559" s="23" t="s">
        <v>409</v>
      </c>
      <c r="D559" s="9" t="s">
        <v>38</v>
      </c>
      <c r="E559" s="9" t="s">
        <v>462</v>
      </c>
      <c r="F559" s="18" t="s">
        <v>39</v>
      </c>
      <c r="G559" s="19" t="n">
        <v>20</v>
      </c>
      <c r="H559" s="18" t="s">
        <v>67</v>
      </c>
      <c r="I559" s="19" t="n">
        <v>625</v>
      </c>
      <c r="J559" s="19" t="n">
        <v>0</v>
      </c>
      <c r="K559" s="19" t="n">
        <v>0</v>
      </c>
      <c r="L559" s="19" t="n">
        <f aca="false">G559*I559-J559+K559</f>
        <v>12500</v>
      </c>
    </row>
    <row r="560" customFormat="false" ht="18.75" hidden="false" customHeight="true" outlineLevel="0" collapsed="false">
      <c r="A560" s="20" t="n">
        <v>556</v>
      </c>
      <c r="B560" s="21" t="s">
        <v>408</v>
      </c>
      <c r="C560" s="24" t="s">
        <v>409</v>
      </c>
      <c r="D560" s="13" t="s">
        <v>38</v>
      </c>
      <c r="E560" s="13" t="s">
        <v>486</v>
      </c>
      <c r="F560" s="21" t="s">
        <v>39</v>
      </c>
      <c r="G560" s="22" t="n">
        <v>6</v>
      </c>
      <c r="H560" s="21"/>
      <c r="I560" s="22" t="n">
        <v>875</v>
      </c>
      <c r="J560" s="22" t="n">
        <v>0</v>
      </c>
      <c r="K560" s="22" t="n">
        <v>0</v>
      </c>
      <c r="L560" s="22" t="n">
        <f aca="false">G560*I560-J560+K560</f>
        <v>5250</v>
      </c>
    </row>
    <row r="561" customFormat="false" ht="18.75" hidden="false" customHeight="true" outlineLevel="0" collapsed="false">
      <c r="A561" s="17" t="n">
        <v>557</v>
      </c>
      <c r="B561" s="18" t="s">
        <v>408</v>
      </c>
      <c r="C561" s="23" t="s">
        <v>409</v>
      </c>
      <c r="D561" s="9" t="s">
        <v>38</v>
      </c>
      <c r="E561" s="9" t="s">
        <v>72</v>
      </c>
      <c r="F561" s="18" t="s">
        <v>39</v>
      </c>
      <c r="G561" s="19" t="n">
        <v>149</v>
      </c>
      <c r="H561" s="18" t="s">
        <v>73</v>
      </c>
      <c r="I561" s="19" t="n">
        <v>20</v>
      </c>
      <c r="J561" s="19" t="n">
        <v>0</v>
      </c>
      <c r="K561" s="19" t="n">
        <v>0</v>
      </c>
      <c r="L561" s="19" t="n">
        <f aca="false">G561*I561-J561+K561</f>
        <v>2980</v>
      </c>
    </row>
    <row r="562" customFormat="false" ht="18.75" hidden="false" customHeight="true" outlineLevel="0" collapsed="false">
      <c r="A562" s="20" t="n">
        <v>558</v>
      </c>
      <c r="B562" s="21" t="s">
        <v>408</v>
      </c>
      <c r="C562" s="24" t="s">
        <v>409</v>
      </c>
      <c r="D562" s="13" t="s">
        <v>38</v>
      </c>
      <c r="E562" s="13" t="s">
        <v>507</v>
      </c>
      <c r="F562" s="21" t="s">
        <v>39</v>
      </c>
      <c r="G562" s="22" t="n">
        <v>2</v>
      </c>
      <c r="H562" s="21" t="s">
        <v>67</v>
      </c>
      <c r="I562" s="22" t="n">
        <v>2650</v>
      </c>
      <c r="J562" s="22" t="n">
        <v>0</v>
      </c>
      <c r="K562" s="22" t="n">
        <v>0</v>
      </c>
      <c r="L562" s="22" t="n">
        <f aca="false">G562*I562-J562+K562</f>
        <v>5300</v>
      </c>
    </row>
    <row r="563" customFormat="false" ht="18.75" hidden="false" customHeight="true" outlineLevel="0" collapsed="false">
      <c r="A563" s="17" t="n">
        <v>559</v>
      </c>
      <c r="B563" s="18" t="s">
        <v>408</v>
      </c>
      <c r="C563" s="23" t="s">
        <v>409</v>
      </c>
      <c r="D563" s="9" t="s">
        <v>38</v>
      </c>
      <c r="E563" s="9" t="s">
        <v>449</v>
      </c>
      <c r="F563" s="18" t="s">
        <v>39</v>
      </c>
      <c r="G563" s="19" t="n">
        <v>670</v>
      </c>
      <c r="H563" s="18" t="s">
        <v>73</v>
      </c>
      <c r="I563" s="19" t="n">
        <v>10</v>
      </c>
      <c r="J563" s="19" t="n">
        <v>0</v>
      </c>
      <c r="K563" s="19" t="n">
        <v>0</v>
      </c>
      <c r="L563" s="19" t="n">
        <f aca="false">G563*I563-J563+K563</f>
        <v>6700</v>
      </c>
    </row>
    <row r="564" customFormat="false" ht="18.75" hidden="false" customHeight="true" outlineLevel="0" collapsed="false">
      <c r="A564" s="20" t="n">
        <v>560</v>
      </c>
      <c r="B564" s="21" t="s">
        <v>408</v>
      </c>
      <c r="C564" s="24" t="s">
        <v>409</v>
      </c>
      <c r="D564" s="13" t="s">
        <v>38</v>
      </c>
      <c r="E564" s="13" t="s">
        <v>536</v>
      </c>
      <c r="F564" s="21" t="s">
        <v>39</v>
      </c>
      <c r="G564" s="22" t="n">
        <v>1</v>
      </c>
      <c r="H564" s="21" t="s">
        <v>67</v>
      </c>
      <c r="I564" s="22" t="n">
        <v>850</v>
      </c>
      <c r="J564" s="22" t="n">
        <v>0</v>
      </c>
      <c r="K564" s="22" t="n">
        <v>0</v>
      </c>
      <c r="L564" s="22" t="n">
        <f aca="false">G564*I564-J564+K564</f>
        <v>850</v>
      </c>
    </row>
    <row r="565" customFormat="false" ht="18.75" hidden="false" customHeight="true" outlineLevel="0" collapsed="false">
      <c r="A565" s="17" t="n">
        <v>561</v>
      </c>
      <c r="B565" s="18" t="s">
        <v>408</v>
      </c>
      <c r="C565" s="23" t="s">
        <v>409</v>
      </c>
      <c r="D565" s="9" t="s">
        <v>38</v>
      </c>
      <c r="E565" s="9" t="s">
        <v>456</v>
      </c>
      <c r="F565" s="18" t="s">
        <v>39</v>
      </c>
      <c r="G565" s="19" t="n">
        <v>59</v>
      </c>
      <c r="H565" s="18" t="s">
        <v>65</v>
      </c>
      <c r="I565" s="19" t="n">
        <v>55</v>
      </c>
      <c r="J565" s="19" t="n">
        <v>0</v>
      </c>
      <c r="K565" s="19" t="n">
        <v>0</v>
      </c>
      <c r="L565" s="19" t="n">
        <f aca="false">G565*I565-J565+K565</f>
        <v>3245</v>
      </c>
    </row>
    <row r="566" customFormat="false" ht="18.75" hidden="false" customHeight="true" outlineLevel="0" collapsed="false">
      <c r="A566" s="20" t="n">
        <v>562</v>
      </c>
      <c r="B566" s="21" t="s">
        <v>408</v>
      </c>
      <c r="C566" s="24" t="s">
        <v>409</v>
      </c>
      <c r="D566" s="13" t="s">
        <v>38</v>
      </c>
      <c r="E566" s="13" t="s">
        <v>537</v>
      </c>
      <c r="F566" s="21" t="s">
        <v>39</v>
      </c>
      <c r="G566" s="22" t="n">
        <v>12</v>
      </c>
      <c r="H566" s="21" t="s">
        <v>67</v>
      </c>
      <c r="I566" s="22" t="n">
        <v>290</v>
      </c>
      <c r="J566" s="22" t="n">
        <v>0</v>
      </c>
      <c r="K566" s="22" t="n">
        <v>0</v>
      </c>
      <c r="L566" s="22" t="n">
        <f aca="false">G566*I566-J566+K566</f>
        <v>3480</v>
      </c>
    </row>
    <row r="567" customFormat="false" ht="18.75" hidden="false" customHeight="true" outlineLevel="0" collapsed="false">
      <c r="A567" s="17" t="n">
        <v>563</v>
      </c>
      <c r="B567" s="18" t="s">
        <v>408</v>
      </c>
      <c r="C567" s="23" t="s">
        <v>409</v>
      </c>
      <c r="D567" s="9" t="s">
        <v>38</v>
      </c>
      <c r="E567" s="9" t="s">
        <v>473</v>
      </c>
      <c r="F567" s="18" t="s">
        <v>39</v>
      </c>
      <c r="G567" s="19" t="n">
        <v>15</v>
      </c>
      <c r="H567" s="18" t="s">
        <v>67</v>
      </c>
      <c r="I567" s="19" t="n">
        <v>225</v>
      </c>
      <c r="J567" s="19" t="n">
        <v>0</v>
      </c>
      <c r="K567" s="19" t="n">
        <v>0</v>
      </c>
      <c r="L567" s="19" t="n">
        <f aca="false">G567*I567-J567+K567</f>
        <v>3375</v>
      </c>
    </row>
    <row r="568" customFormat="false" ht="18.75" hidden="false" customHeight="true" outlineLevel="0" collapsed="false">
      <c r="A568" s="20" t="n">
        <v>564</v>
      </c>
      <c r="B568" s="21" t="s">
        <v>408</v>
      </c>
      <c r="C568" s="24" t="s">
        <v>409</v>
      </c>
      <c r="D568" s="13" t="s">
        <v>38</v>
      </c>
      <c r="E568" s="13" t="s">
        <v>511</v>
      </c>
      <c r="F568" s="21" t="s">
        <v>39</v>
      </c>
      <c r="G568" s="22" t="n">
        <v>10</v>
      </c>
      <c r="H568" s="21" t="s">
        <v>67</v>
      </c>
      <c r="I568" s="22" t="n">
        <v>180</v>
      </c>
      <c r="J568" s="22" t="n">
        <v>0</v>
      </c>
      <c r="K568" s="22" t="n">
        <v>0</v>
      </c>
      <c r="L568" s="22" t="n">
        <f aca="false">G568*I568-J568+K568</f>
        <v>1800</v>
      </c>
    </row>
    <row r="569" customFormat="false" ht="18.75" hidden="false" customHeight="true" outlineLevel="0" collapsed="false">
      <c r="A569" s="17" t="n">
        <v>565</v>
      </c>
      <c r="B569" s="18" t="s">
        <v>408</v>
      </c>
      <c r="C569" s="23" t="s">
        <v>409</v>
      </c>
      <c r="D569" s="9" t="s">
        <v>38</v>
      </c>
      <c r="E569" s="9" t="s">
        <v>463</v>
      </c>
      <c r="F569" s="18" t="s">
        <v>39</v>
      </c>
      <c r="G569" s="19" t="n">
        <v>15</v>
      </c>
      <c r="H569" s="18" t="s">
        <v>67</v>
      </c>
      <c r="I569" s="19" t="n">
        <v>225</v>
      </c>
      <c r="J569" s="19" t="n">
        <v>0</v>
      </c>
      <c r="K569" s="19" t="n">
        <v>0</v>
      </c>
      <c r="L569" s="19" t="n">
        <f aca="false">G569*I569-J569+K569</f>
        <v>3375</v>
      </c>
    </row>
    <row r="570" customFormat="false" ht="18.75" hidden="false" customHeight="true" outlineLevel="0" collapsed="false">
      <c r="A570" s="20" t="n">
        <v>566</v>
      </c>
      <c r="B570" s="21" t="s">
        <v>408</v>
      </c>
      <c r="C570" s="24" t="s">
        <v>409</v>
      </c>
      <c r="D570" s="13" t="s">
        <v>38</v>
      </c>
      <c r="E570" s="13" t="s">
        <v>538</v>
      </c>
      <c r="F570" s="21" t="s">
        <v>39</v>
      </c>
      <c r="G570" s="22" t="n">
        <v>1</v>
      </c>
      <c r="H570" s="21" t="s">
        <v>67</v>
      </c>
      <c r="I570" s="22" t="n">
        <v>11400</v>
      </c>
      <c r="J570" s="22" t="n">
        <v>0</v>
      </c>
      <c r="K570" s="22" t="n">
        <v>0</v>
      </c>
      <c r="L570" s="22" t="n">
        <f aca="false">G570*I570-J570+K570</f>
        <v>11400</v>
      </c>
    </row>
    <row r="571" customFormat="false" ht="18.75" hidden="false" customHeight="true" outlineLevel="0" collapsed="false">
      <c r="A571" s="17" t="n">
        <v>567</v>
      </c>
      <c r="B571" s="18" t="s">
        <v>410</v>
      </c>
      <c r="C571" s="23" t="s">
        <v>411</v>
      </c>
      <c r="D571" s="9" t="s">
        <v>42</v>
      </c>
      <c r="E571" s="9" t="s">
        <v>539</v>
      </c>
      <c r="F571" s="18" t="s">
        <v>39</v>
      </c>
      <c r="G571" s="19" t="n">
        <v>390</v>
      </c>
      <c r="H571" s="18"/>
      <c r="I571" s="19" t="n">
        <v>18</v>
      </c>
      <c r="J571" s="19" t="n">
        <v>0</v>
      </c>
      <c r="K571" s="19" t="n">
        <v>0</v>
      </c>
      <c r="L571" s="19" t="n">
        <f aca="false">G571*I571-J571+K571</f>
        <v>7020</v>
      </c>
    </row>
    <row r="572" customFormat="false" ht="18.75" hidden="false" customHeight="true" outlineLevel="0" collapsed="false">
      <c r="A572" s="20" t="n">
        <v>568</v>
      </c>
      <c r="B572" s="21" t="s">
        <v>410</v>
      </c>
      <c r="C572" s="24" t="s">
        <v>411</v>
      </c>
      <c r="D572" s="13" t="s">
        <v>42</v>
      </c>
      <c r="E572" s="13" t="s">
        <v>453</v>
      </c>
      <c r="F572" s="21" t="s">
        <v>39</v>
      </c>
      <c r="G572" s="22" t="n">
        <v>4</v>
      </c>
      <c r="H572" s="21"/>
      <c r="I572" s="22" t="n">
        <v>1650</v>
      </c>
      <c r="J572" s="22" t="n">
        <v>0</v>
      </c>
      <c r="K572" s="22" t="n">
        <v>0</v>
      </c>
      <c r="L572" s="22" t="n">
        <f aca="false">G572*I572-J572+K572</f>
        <v>6600</v>
      </c>
    </row>
    <row r="573" customFormat="false" ht="18.75" hidden="false" customHeight="true" outlineLevel="0" collapsed="false">
      <c r="A573" s="17" t="n">
        <v>569</v>
      </c>
      <c r="B573" s="18" t="s">
        <v>410</v>
      </c>
      <c r="C573" s="23" t="s">
        <v>411</v>
      </c>
      <c r="D573" s="9" t="s">
        <v>42</v>
      </c>
      <c r="E573" s="9" t="s">
        <v>449</v>
      </c>
      <c r="F573" s="18" t="s">
        <v>39</v>
      </c>
      <c r="G573" s="19" t="n">
        <v>1157</v>
      </c>
      <c r="H573" s="18" t="s">
        <v>73</v>
      </c>
      <c r="I573" s="19" t="n">
        <v>10</v>
      </c>
      <c r="J573" s="19" t="n">
        <v>0</v>
      </c>
      <c r="K573" s="19" t="n">
        <v>0</v>
      </c>
      <c r="L573" s="19" t="n">
        <f aca="false">G573*I573-J573+K573</f>
        <v>11570</v>
      </c>
    </row>
    <row r="574" customFormat="false" ht="18.75" hidden="false" customHeight="true" outlineLevel="0" collapsed="false">
      <c r="A574" s="20" t="n">
        <v>570</v>
      </c>
      <c r="B574" s="21" t="s">
        <v>410</v>
      </c>
      <c r="C574" s="24" t="s">
        <v>411</v>
      </c>
      <c r="D574" s="13" t="s">
        <v>42</v>
      </c>
      <c r="E574" s="13" t="s">
        <v>72</v>
      </c>
      <c r="F574" s="21" t="s">
        <v>39</v>
      </c>
      <c r="G574" s="22" t="n">
        <v>307</v>
      </c>
      <c r="H574" s="21" t="s">
        <v>73</v>
      </c>
      <c r="I574" s="22" t="n">
        <v>20</v>
      </c>
      <c r="J574" s="22" t="n">
        <v>0</v>
      </c>
      <c r="K574" s="22" t="n">
        <v>0</v>
      </c>
      <c r="L574" s="22" t="n">
        <f aca="false">G574*I574-J574+K574</f>
        <v>6140</v>
      </c>
    </row>
    <row r="575" customFormat="false" ht="18.75" hidden="false" customHeight="true" outlineLevel="0" collapsed="false">
      <c r="A575" s="17" t="n">
        <v>571</v>
      </c>
      <c r="B575" s="18" t="s">
        <v>410</v>
      </c>
      <c r="C575" s="23" t="s">
        <v>411</v>
      </c>
      <c r="D575" s="9" t="s">
        <v>42</v>
      </c>
      <c r="E575" s="9" t="s">
        <v>69</v>
      </c>
      <c r="F575" s="18" t="s">
        <v>39</v>
      </c>
      <c r="G575" s="19" t="n">
        <v>5</v>
      </c>
      <c r="H575" s="18" t="s">
        <v>67</v>
      </c>
      <c r="I575" s="19" t="n">
        <v>4700</v>
      </c>
      <c r="J575" s="19" t="n">
        <v>0</v>
      </c>
      <c r="K575" s="19" t="n">
        <v>0</v>
      </c>
      <c r="L575" s="19" t="n">
        <f aca="false">G575*I575-J575+K575</f>
        <v>23500</v>
      </c>
    </row>
    <row r="576" customFormat="false" ht="18.75" hidden="false" customHeight="true" outlineLevel="0" collapsed="false">
      <c r="A576" s="20" t="n">
        <v>572</v>
      </c>
      <c r="B576" s="21" t="s">
        <v>412</v>
      </c>
      <c r="C576" s="24" t="s">
        <v>413</v>
      </c>
      <c r="D576" s="13" t="s">
        <v>38</v>
      </c>
      <c r="E576" s="13" t="s">
        <v>471</v>
      </c>
      <c r="F576" s="21" t="s">
        <v>39</v>
      </c>
      <c r="G576" s="22" t="n">
        <v>1</v>
      </c>
      <c r="H576" s="21" t="s">
        <v>67</v>
      </c>
      <c r="I576" s="22" t="n">
        <v>6000</v>
      </c>
      <c r="J576" s="22" t="n">
        <v>0</v>
      </c>
      <c r="K576" s="22" t="n">
        <v>0</v>
      </c>
      <c r="L576" s="22" t="n">
        <f aca="false">G576*I576-J576+K576</f>
        <v>6000</v>
      </c>
    </row>
    <row r="577" customFormat="false" ht="18.75" hidden="false" customHeight="true" outlineLevel="0" collapsed="false">
      <c r="A577" s="17" t="n">
        <v>573</v>
      </c>
      <c r="B577" s="18" t="s">
        <v>412</v>
      </c>
      <c r="C577" s="23" t="s">
        <v>413</v>
      </c>
      <c r="D577" s="9" t="s">
        <v>38</v>
      </c>
      <c r="E577" s="9" t="s">
        <v>517</v>
      </c>
      <c r="F577" s="18" t="s">
        <v>39</v>
      </c>
      <c r="G577" s="19" t="n">
        <v>54</v>
      </c>
      <c r="H577" s="18" t="s">
        <v>67</v>
      </c>
      <c r="I577" s="19" t="n">
        <v>100</v>
      </c>
      <c r="J577" s="19" t="n">
        <v>0</v>
      </c>
      <c r="K577" s="19" t="n">
        <v>0</v>
      </c>
      <c r="L577" s="19" t="n">
        <f aca="false">G577*I577-J577+K577</f>
        <v>5400</v>
      </c>
    </row>
    <row r="578" customFormat="false" ht="18.75" hidden="false" customHeight="true" outlineLevel="0" collapsed="false">
      <c r="A578" s="20" t="n">
        <v>574</v>
      </c>
      <c r="B578" s="21" t="s">
        <v>412</v>
      </c>
      <c r="C578" s="24" t="s">
        <v>413</v>
      </c>
      <c r="D578" s="13" t="s">
        <v>38</v>
      </c>
      <c r="E578" s="13" t="s">
        <v>540</v>
      </c>
      <c r="F578" s="21" t="s">
        <v>39</v>
      </c>
      <c r="G578" s="22" t="n">
        <v>54</v>
      </c>
      <c r="H578" s="21" t="s">
        <v>67</v>
      </c>
      <c r="I578" s="22" t="n">
        <v>265</v>
      </c>
      <c r="J578" s="22" t="n">
        <v>0</v>
      </c>
      <c r="K578" s="22" t="n">
        <v>0</v>
      </c>
      <c r="L578" s="22" t="n">
        <f aca="false">G578*I578-J578+K578</f>
        <v>14310</v>
      </c>
    </row>
    <row r="579" customFormat="false" ht="18.75" hidden="false" customHeight="true" outlineLevel="0" collapsed="false">
      <c r="A579" s="17" t="n">
        <v>575</v>
      </c>
      <c r="B579" s="18" t="s">
        <v>412</v>
      </c>
      <c r="C579" s="23" t="s">
        <v>413</v>
      </c>
      <c r="D579" s="9" t="s">
        <v>38</v>
      </c>
      <c r="E579" s="9" t="s">
        <v>66</v>
      </c>
      <c r="F579" s="18" t="s">
        <v>39</v>
      </c>
      <c r="G579" s="19" t="n">
        <v>100</v>
      </c>
      <c r="H579" s="18" t="s">
        <v>67</v>
      </c>
      <c r="I579" s="19" t="n">
        <v>248</v>
      </c>
      <c r="J579" s="19" t="n">
        <v>0</v>
      </c>
      <c r="K579" s="19" t="n">
        <v>0</v>
      </c>
      <c r="L579" s="19" t="n">
        <f aca="false">G579*I579-J579+K579</f>
        <v>24800</v>
      </c>
    </row>
    <row r="580" customFormat="false" ht="18.75" hidden="false" customHeight="true" outlineLevel="0" collapsed="false">
      <c r="A580" s="20" t="n">
        <v>576</v>
      </c>
      <c r="B580" s="21" t="s">
        <v>412</v>
      </c>
      <c r="C580" s="24" t="s">
        <v>413</v>
      </c>
      <c r="D580" s="13" t="s">
        <v>38</v>
      </c>
      <c r="E580" s="13" t="s">
        <v>471</v>
      </c>
      <c r="F580" s="21" t="s">
        <v>39</v>
      </c>
      <c r="G580" s="22" t="n">
        <v>1</v>
      </c>
      <c r="H580" s="21" t="s">
        <v>67</v>
      </c>
      <c r="I580" s="22" t="n">
        <v>6000</v>
      </c>
      <c r="J580" s="22" t="n">
        <v>0</v>
      </c>
      <c r="K580" s="22" t="n">
        <v>0</v>
      </c>
      <c r="L580" s="22" t="n">
        <f aca="false">G580*I580-J580+K580</f>
        <v>6000</v>
      </c>
    </row>
    <row r="581" customFormat="false" ht="18.75" hidden="false" customHeight="true" outlineLevel="0" collapsed="false">
      <c r="A581" s="17" t="n">
        <v>577</v>
      </c>
      <c r="B581" s="18" t="s">
        <v>412</v>
      </c>
      <c r="C581" s="23" t="s">
        <v>413</v>
      </c>
      <c r="D581" s="9" t="s">
        <v>38</v>
      </c>
      <c r="E581" s="9" t="s">
        <v>471</v>
      </c>
      <c r="F581" s="18" t="s">
        <v>39</v>
      </c>
      <c r="G581" s="19" t="n">
        <v>1</v>
      </c>
      <c r="H581" s="18" t="s">
        <v>67</v>
      </c>
      <c r="I581" s="19" t="n">
        <v>7500</v>
      </c>
      <c r="J581" s="19" t="n">
        <v>0</v>
      </c>
      <c r="K581" s="19" t="n">
        <v>0</v>
      </c>
      <c r="L581" s="19" t="n">
        <f aca="false">G581*I581-J581+K581</f>
        <v>7500</v>
      </c>
    </row>
    <row r="582" customFormat="false" ht="18.75" hidden="false" customHeight="true" outlineLevel="0" collapsed="false">
      <c r="A582" s="20" t="n">
        <v>578</v>
      </c>
      <c r="B582" s="21" t="s">
        <v>412</v>
      </c>
      <c r="C582" s="24" t="s">
        <v>413</v>
      </c>
      <c r="D582" s="13" t="s">
        <v>38</v>
      </c>
      <c r="E582" s="13" t="s">
        <v>64</v>
      </c>
      <c r="F582" s="21" t="s">
        <v>39</v>
      </c>
      <c r="G582" s="22" t="n">
        <v>3097.5</v>
      </c>
      <c r="H582" s="21" t="s">
        <v>65</v>
      </c>
      <c r="I582" s="22" t="n">
        <v>16.25</v>
      </c>
      <c r="J582" s="22" t="n">
        <v>0</v>
      </c>
      <c r="K582" s="22" t="n">
        <v>0</v>
      </c>
      <c r="L582" s="22" t="n">
        <f aca="false">G582*I582-J582+K582</f>
        <v>50334.375</v>
      </c>
    </row>
    <row r="583" customFormat="false" ht="18.75" hidden="false" customHeight="true" outlineLevel="0" collapsed="false">
      <c r="A583" s="17" t="n">
        <v>579</v>
      </c>
      <c r="B583" s="18" t="s">
        <v>414</v>
      </c>
      <c r="C583" s="23" t="s">
        <v>415</v>
      </c>
      <c r="D583" s="9" t="s">
        <v>38</v>
      </c>
      <c r="E583" s="9" t="s">
        <v>64</v>
      </c>
      <c r="F583" s="18" t="s">
        <v>39</v>
      </c>
      <c r="G583" s="19" t="n">
        <v>3452.5</v>
      </c>
      <c r="H583" s="18" t="s">
        <v>65</v>
      </c>
      <c r="I583" s="19" t="n">
        <v>16.5</v>
      </c>
      <c r="J583" s="19" t="n">
        <v>0</v>
      </c>
      <c r="K583" s="19" t="n">
        <v>0</v>
      </c>
      <c r="L583" s="19" t="n">
        <f aca="false">G583*I583-J583+K583</f>
        <v>56966.25</v>
      </c>
    </row>
    <row r="584" customFormat="false" ht="18.75" hidden="false" customHeight="true" outlineLevel="0" collapsed="false">
      <c r="A584" s="20" t="n">
        <v>580</v>
      </c>
      <c r="B584" s="21" t="s">
        <v>414</v>
      </c>
      <c r="C584" s="24" t="s">
        <v>415</v>
      </c>
      <c r="D584" s="13" t="s">
        <v>38</v>
      </c>
      <c r="E584" s="13" t="s">
        <v>505</v>
      </c>
      <c r="F584" s="21" t="s">
        <v>39</v>
      </c>
      <c r="G584" s="22" t="n">
        <v>9</v>
      </c>
      <c r="H584" s="21" t="s">
        <v>67</v>
      </c>
      <c r="I584" s="22" t="n">
        <v>560</v>
      </c>
      <c r="J584" s="22" t="n">
        <v>0</v>
      </c>
      <c r="K584" s="22" t="n">
        <v>0</v>
      </c>
      <c r="L584" s="22" t="n">
        <f aca="false">G584*I584-J584+K584</f>
        <v>5040</v>
      </c>
    </row>
    <row r="585" customFormat="false" ht="18.75" hidden="false" customHeight="true" outlineLevel="0" collapsed="false">
      <c r="A585" s="17" t="n">
        <v>581</v>
      </c>
      <c r="B585" s="18" t="s">
        <v>414</v>
      </c>
      <c r="C585" s="23" t="s">
        <v>415</v>
      </c>
      <c r="D585" s="9" t="s">
        <v>38</v>
      </c>
      <c r="E585" s="9" t="s">
        <v>71</v>
      </c>
      <c r="F585" s="18" t="s">
        <v>39</v>
      </c>
      <c r="G585" s="19" t="n">
        <v>10</v>
      </c>
      <c r="H585" s="18" t="s">
        <v>67</v>
      </c>
      <c r="I585" s="19" t="n">
        <v>1650</v>
      </c>
      <c r="J585" s="19" t="n">
        <v>0</v>
      </c>
      <c r="K585" s="19" t="n">
        <v>0</v>
      </c>
      <c r="L585" s="19" t="n">
        <f aca="false">G585*I585-J585+K585</f>
        <v>16500</v>
      </c>
    </row>
    <row r="586" customFormat="false" ht="18.75" hidden="false" customHeight="true" outlineLevel="0" collapsed="false">
      <c r="A586" s="20" t="n">
        <v>582</v>
      </c>
      <c r="B586" s="21" t="s">
        <v>414</v>
      </c>
      <c r="C586" s="24" t="s">
        <v>415</v>
      </c>
      <c r="D586" s="13" t="s">
        <v>38</v>
      </c>
      <c r="E586" s="13" t="s">
        <v>514</v>
      </c>
      <c r="F586" s="21" t="s">
        <v>39</v>
      </c>
      <c r="G586" s="22" t="n">
        <v>112</v>
      </c>
      <c r="H586" s="21" t="s">
        <v>67</v>
      </c>
      <c r="I586" s="22" t="n">
        <v>320</v>
      </c>
      <c r="J586" s="22" t="n">
        <v>0</v>
      </c>
      <c r="K586" s="22" t="n">
        <v>0</v>
      </c>
      <c r="L586" s="22" t="n">
        <f aca="false">G586*I586-J586+K586</f>
        <v>35840</v>
      </c>
    </row>
    <row r="587" customFormat="false" ht="18.75" hidden="false" customHeight="true" outlineLevel="0" collapsed="false">
      <c r="A587" s="17" t="n">
        <v>583</v>
      </c>
      <c r="B587" s="18" t="s">
        <v>414</v>
      </c>
      <c r="C587" s="23" t="s">
        <v>415</v>
      </c>
      <c r="D587" s="9" t="s">
        <v>38</v>
      </c>
      <c r="E587" s="9" t="s">
        <v>517</v>
      </c>
      <c r="F587" s="18" t="s">
        <v>39</v>
      </c>
      <c r="G587" s="19" t="n">
        <v>40</v>
      </c>
      <c r="H587" s="18" t="s">
        <v>67</v>
      </c>
      <c r="I587" s="19" t="n">
        <v>100</v>
      </c>
      <c r="J587" s="19" t="n">
        <v>0</v>
      </c>
      <c r="K587" s="19" t="n">
        <v>0</v>
      </c>
      <c r="L587" s="19" t="n">
        <f aca="false">G587*I587-J587+K587</f>
        <v>4000</v>
      </c>
    </row>
    <row r="588" customFormat="false" ht="18.75" hidden="false" customHeight="true" outlineLevel="0" collapsed="false">
      <c r="A588" s="20" t="n">
        <v>584</v>
      </c>
      <c r="B588" s="21" t="s">
        <v>414</v>
      </c>
      <c r="C588" s="24" t="s">
        <v>415</v>
      </c>
      <c r="D588" s="13" t="s">
        <v>38</v>
      </c>
      <c r="E588" s="13" t="s">
        <v>540</v>
      </c>
      <c r="F588" s="21" t="s">
        <v>39</v>
      </c>
      <c r="G588" s="22" t="n">
        <v>18</v>
      </c>
      <c r="H588" s="21" t="s">
        <v>67</v>
      </c>
      <c r="I588" s="22" t="n">
        <v>265</v>
      </c>
      <c r="J588" s="22" t="n">
        <v>0</v>
      </c>
      <c r="K588" s="22" t="n">
        <v>0</v>
      </c>
      <c r="L588" s="22" t="n">
        <f aca="false">G588*I588-J588+K588</f>
        <v>4770</v>
      </c>
    </row>
    <row r="589" customFormat="false" ht="18.75" hidden="false" customHeight="true" outlineLevel="0" collapsed="false">
      <c r="A589" s="17" t="n">
        <v>585</v>
      </c>
      <c r="B589" s="18" t="s">
        <v>414</v>
      </c>
      <c r="C589" s="23" t="s">
        <v>415</v>
      </c>
      <c r="D589" s="9" t="s">
        <v>38</v>
      </c>
      <c r="E589" s="9" t="s">
        <v>449</v>
      </c>
      <c r="F589" s="18" t="s">
        <v>39</v>
      </c>
      <c r="G589" s="19" t="n">
        <v>150</v>
      </c>
      <c r="H589" s="18" t="s">
        <v>73</v>
      </c>
      <c r="I589" s="19" t="n">
        <v>10</v>
      </c>
      <c r="J589" s="19" t="n">
        <v>0</v>
      </c>
      <c r="K589" s="19" t="n">
        <v>0</v>
      </c>
      <c r="L589" s="19" t="n">
        <f aca="false">G589*I589-J589+K589</f>
        <v>1500</v>
      </c>
    </row>
    <row r="590" customFormat="false" ht="18.75" hidden="false" customHeight="true" outlineLevel="0" collapsed="false">
      <c r="A590" s="20" t="n">
        <v>586</v>
      </c>
      <c r="B590" s="21" t="s">
        <v>416</v>
      </c>
      <c r="C590" s="24" t="s">
        <v>417</v>
      </c>
      <c r="D590" s="13" t="s">
        <v>38</v>
      </c>
      <c r="E590" s="13" t="s">
        <v>64</v>
      </c>
      <c r="F590" s="21" t="s">
        <v>39</v>
      </c>
      <c r="G590" s="22" t="n">
        <v>3736.5</v>
      </c>
      <c r="H590" s="21" t="s">
        <v>65</v>
      </c>
      <c r="I590" s="22" t="n">
        <v>16.5</v>
      </c>
      <c r="J590" s="22" t="n">
        <v>0</v>
      </c>
      <c r="K590" s="22" t="n">
        <v>0</v>
      </c>
      <c r="L590" s="22" t="n">
        <f aca="false">G590*I590-J590+K590</f>
        <v>61652.25</v>
      </c>
    </row>
    <row r="591" customFormat="false" ht="18.75" hidden="false" customHeight="true" outlineLevel="0" collapsed="false">
      <c r="A591" s="17" t="n">
        <v>587</v>
      </c>
      <c r="B591" s="18" t="s">
        <v>416</v>
      </c>
      <c r="C591" s="23" t="s">
        <v>417</v>
      </c>
      <c r="D591" s="9" t="s">
        <v>38</v>
      </c>
      <c r="E591" s="9" t="s">
        <v>66</v>
      </c>
      <c r="F591" s="18" t="s">
        <v>39</v>
      </c>
      <c r="G591" s="19" t="n">
        <v>50</v>
      </c>
      <c r="H591" s="18" t="s">
        <v>67</v>
      </c>
      <c r="I591" s="19" t="n">
        <v>246</v>
      </c>
      <c r="J591" s="19" t="n">
        <v>0</v>
      </c>
      <c r="K591" s="19" t="n">
        <v>0</v>
      </c>
      <c r="L591" s="19" t="n">
        <f aca="false">G591*I591-J591+K591</f>
        <v>12300</v>
      </c>
    </row>
    <row r="592" customFormat="false" ht="18.75" hidden="false" customHeight="true" outlineLevel="0" collapsed="false">
      <c r="A592" s="20" t="n">
        <v>588</v>
      </c>
      <c r="B592" s="21" t="s">
        <v>416</v>
      </c>
      <c r="C592" s="24" t="s">
        <v>417</v>
      </c>
      <c r="D592" s="13" t="s">
        <v>38</v>
      </c>
      <c r="E592" s="13" t="s">
        <v>71</v>
      </c>
      <c r="F592" s="21" t="s">
        <v>39</v>
      </c>
      <c r="G592" s="22" t="n">
        <v>7</v>
      </c>
      <c r="H592" s="21" t="s">
        <v>67</v>
      </c>
      <c r="I592" s="22" t="n">
        <v>1650</v>
      </c>
      <c r="J592" s="22" t="n">
        <v>0</v>
      </c>
      <c r="K592" s="22" t="n">
        <v>0</v>
      </c>
      <c r="L592" s="22" t="n">
        <f aca="false">G592*I592-J592+K592</f>
        <v>11550</v>
      </c>
    </row>
    <row r="593" customFormat="false" ht="18.75" hidden="false" customHeight="true" outlineLevel="0" collapsed="false">
      <c r="A593" s="17" t="n">
        <v>589</v>
      </c>
      <c r="B593" s="18" t="s">
        <v>416</v>
      </c>
      <c r="C593" s="23" t="s">
        <v>417</v>
      </c>
      <c r="D593" s="9" t="s">
        <v>38</v>
      </c>
      <c r="E593" s="9" t="s">
        <v>514</v>
      </c>
      <c r="F593" s="18" t="s">
        <v>39</v>
      </c>
      <c r="G593" s="19" t="n">
        <v>56</v>
      </c>
      <c r="H593" s="18" t="s">
        <v>67</v>
      </c>
      <c r="I593" s="19" t="n">
        <v>320</v>
      </c>
      <c r="J593" s="19" t="n">
        <v>0</v>
      </c>
      <c r="K593" s="19" t="n">
        <v>0</v>
      </c>
      <c r="L593" s="19" t="n">
        <f aca="false">G593*I593-J593+K593</f>
        <v>17920</v>
      </c>
    </row>
    <row r="594" customFormat="false" ht="18.75" hidden="false" customHeight="true" outlineLevel="0" collapsed="false">
      <c r="A594" s="20" t="n">
        <v>590</v>
      </c>
      <c r="B594" s="21" t="s">
        <v>416</v>
      </c>
      <c r="C594" s="24" t="s">
        <v>417</v>
      </c>
      <c r="D594" s="13" t="s">
        <v>38</v>
      </c>
      <c r="E594" s="13" t="s">
        <v>486</v>
      </c>
      <c r="F594" s="21" t="s">
        <v>39</v>
      </c>
      <c r="G594" s="22" t="n">
        <v>10</v>
      </c>
      <c r="H594" s="21"/>
      <c r="I594" s="22" t="n">
        <v>800</v>
      </c>
      <c r="J594" s="22" t="n">
        <v>0</v>
      </c>
      <c r="K594" s="22" t="n">
        <v>0</v>
      </c>
      <c r="L594" s="22" t="n">
        <f aca="false">G594*I594-J594+K594</f>
        <v>8000</v>
      </c>
    </row>
    <row r="595" customFormat="false" ht="18.75" hidden="false" customHeight="true" outlineLevel="0" collapsed="false">
      <c r="A595" s="17" t="n">
        <v>591</v>
      </c>
      <c r="B595" s="18" t="s">
        <v>416</v>
      </c>
      <c r="C595" s="23" t="s">
        <v>417</v>
      </c>
      <c r="D595" s="9" t="s">
        <v>38</v>
      </c>
      <c r="E595" s="9" t="s">
        <v>462</v>
      </c>
      <c r="F595" s="18" t="s">
        <v>39</v>
      </c>
      <c r="G595" s="19" t="n">
        <v>30</v>
      </c>
      <c r="H595" s="18" t="s">
        <v>67</v>
      </c>
      <c r="I595" s="19" t="n">
        <v>625</v>
      </c>
      <c r="J595" s="19" t="n">
        <v>0</v>
      </c>
      <c r="K595" s="19" t="n">
        <v>0</v>
      </c>
      <c r="L595" s="19" t="n">
        <f aca="false">G595*I595-J595+K595</f>
        <v>18750</v>
      </c>
    </row>
    <row r="596" customFormat="false" ht="18.75" hidden="false" customHeight="true" outlineLevel="0" collapsed="false">
      <c r="A596" s="20" t="n">
        <v>592</v>
      </c>
      <c r="B596" s="21" t="s">
        <v>416</v>
      </c>
      <c r="C596" s="24" t="s">
        <v>417</v>
      </c>
      <c r="D596" s="13" t="s">
        <v>38</v>
      </c>
      <c r="E596" s="13" t="s">
        <v>72</v>
      </c>
      <c r="F596" s="21" t="s">
        <v>39</v>
      </c>
      <c r="G596" s="22" t="n">
        <v>149.5</v>
      </c>
      <c r="H596" s="21" t="s">
        <v>73</v>
      </c>
      <c r="I596" s="22" t="n">
        <v>20</v>
      </c>
      <c r="J596" s="22" t="n">
        <v>0</v>
      </c>
      <c r="K596" s="22" t="n">
        <v>0</v>
      </c>
      <c r="L596" s="22" t="n">
        <f aca="false">G596*I596-J596+K596</f>
        <v>2990</v>
      </c>
    </row>
    <row r="597" customFormat="false" ht="18.75" hidden="false" customHeight="true" outlineLevel="0" collapsed="false">
      <c r="A597" s="17" t="n">
        <v>593</v>
      </c>
      <c r="B597" s="18" t="s">
        <v>416</v>
      </c>
      <c r="C597" s="23" t="s">
        <v>417</v>
      </c>
      <c r="D597" s="9" t="s">
        <v>38</v>
      </c>
      <c r="E597" s="9" t="s">
        <v>530</v>
      </c>
      <c r="F597" s="18" t="s">
        <v>39</v>
      </c>
      <c r="G597" s="19" t="n">
        <v>16</v>
      </c>
      <c r="H597" s="18" t="s">
        <v>67</v>
      </c>
      <c r="I597" s="19" t="n">
        <v>550</v>
      </c>
      <c r="J597" s="19" t="n">
        <v>0</v>
      </c>
      <c r="K597" s="19" t="n">
        <v>0</v>
      </c>
      <c r="L597" s="19" t="n">
        <f aca="false">G597*I597-J597+K597</f>
        <v>8800</v>
      </c>
    </row>
    <row r="598" customFormat="false" ht="18.75" hidden="false" customHeight="true" outlineLevel="0" collapsed="false">
      <c r="A598" s="20" t="n">
        <v>594</v>
      </c>
      <c r="B598" s="21" t="s">
        <v>416</v>
      </c>
      <c r="C598" s="24" t="s">
        <v>417</v>
      </c>
      <c r="D598" s="13" t="s">
        <v>38</v>
      </c>
      <c r="E598" s="13" t="s">
        <v>76</v>
      </c>
      <c r="F598" s="21" t="s">
        <v>39</v>
      </c>
      <c r="G598" s="22" t="n">
        <v>40</v>
      </c>
      <c r="H598" s="21" t="s">
        <v>67</v>
      </c>
      <c r="I598" s="22" t="n">
        <v>185</v>
      </c>
      <c r="J598" s="22" t="n">
        <v>0</v>
      </c>
      <c r="K598" s="22" t="n">
        <v>0</v>
      </c>
      <c r="L598" s="22" t="n">
        <f aca="false">G598*I598-J598+K598</f>
        <v>7400</v>
      </c>
    </row>
    <row r="599" customFormat="false" ht="18.75" hidden="false" customHeight="true" outlineLevel="0" collapsed="false">
      <c r="A599" s="17" t="n">
        <v>595</v>
      </c>
      <c r="B599" s="18" t="s">
        <v>416</v>
      </c>
      <c r="C599" s="23" t="s">
        <v>417</v>
      </c>
      <c r="D599" s="9" t="s">
        <v>38</v>
      </c>
      <c r="E599" s="9" t="s">
        <v>69</v>
      </c>
      <c r="F599" s="18" t="s">
        <v>39</v>
      </c>
      <c r="G599" s="19" t="n">
        <v>2</v>
      </c>
      <c r="H599" s="18" t="s">
        <v>67</v>
      </c>
      <c r="I599" s="19" t="n">
        <v>5000</v>
      </c>
      <c r="J599" s="19" t="n">
        <v>0</v>
      </c>
      <c r="K599" s="19" t="n">
        <v>0</v>
      </c>
      <c r="L599" s="19" t="n">
        <f aca="false">G599*I599-J599+K599</f>
        <v>10000</v>
      </c>
    </row>
    <row r="600" customFormat="false" ht="18.75" hidden="false" customHeight="true" outlineLevel="0" collapsed="false">
      <c r="A600" s="20" t="n">
        <v>596</v>
      </c>
      <c r="B600" s="21" t="s">
        <v>418</v>
      </c>
      <c r="C600" s="24" t="s">
        <v>419</v>
      </c>
      <c r="D600" s="13" t="s">
        <v>38</v>
      </c>
      <c r="E600" s="13" t="s">
        <v>64</v>
      </c>
      <c r="F600" s="21" t="s">
        <v>39</v>
      </c>
      <c r="G600" s="22" t="n">
        <v>5128.5</v>
      </c>
      <c r="H600" s="21" t="s">
        <v>65</v>
      </c>
      <c r="I600" s="22" t="n">
        <v>16.5</v>
      </c>
      <c r="J600" s="22" t="n">
        <v>0</v>
      </c>
      <c r="K600" s="22" t="n">
        <v>0</v>
      </c>
      <c r="L600" s="22" t="n">
        <f aca="false">G600*I600-J600+K600</f>
        <v>84620.25</v>
      </c>
    </row>
    <row r="601" customFormat="false" ht="18.75" hidden="false" customHeight="true" outlineLevel="0" collapsed="false">
      <c r="A601" s="17" t="n">
        <v>597</v>
      </c>
      <c r="B601" s="18" t="s">
        <v>420</v>
      </c>
      <c r="C601" s="23" t="s">
        <v>421</v>
      </c>
      <c r="D601" s="9" t="s">
        <v>42</v>
      </c>
      <c r="E601" s="9" t="s">
        <v>64</v>
      </c>
      <c r="F601" s="18" t="s">
        <v>39</v>
      </c>
      <c r="G601" s="19" t="n">
        <v>1157.25</v>
      </c>
      <c r="H601" s="18" t="s">
        <v>65</v>
      </c>
      <c r="I601" s="19" t="n">
        <v>17</v>
      </c>
      <c r="J601" s="19" t="n">
        <v>0</v>
      </c>
      <c r="K601" s="19" t="n">
        <v>0</v>
      </c>
      <c r="L601" s="19" t="n">
        <f aca="false">G601*I601-J601+K601</f>
        <v>19673.25</v>
      </c>
    </row>
    <row r="602" customFormat="false" ht="18.75" hidden="false" customHeight="true" outlineLevel="0" collapsed="false">
      <c r="A602" s="20" t="n">
        <v>598</v>
      </c>
      <c r="B602" s="21" t="s">
        <v>420</v>
      </c>
      <c r="C602" s="24" t="s">
        <v>421</v>
      </c>
      <c r="D602" s="13" t="s">
        <v>42</v>
      </c>
      <c r="E602" s="13" t="s">
        <v>456</v>
      </c>
      <c r="F602" s="21" t="s">
        <v>39</v>
      </c>
      <c r="G602" s="22" t="n">
        <v>114.5</v>
      </c>
      <c r="H602" s="21" t="s">
        <v>65</v>
      </c>
      <c r="I602" s="22" t="n">
        <v>56</v>
      </c>
      <c r="J602" s="22" t="n">
        <v>0</v>
      </c>
      <c r="K602" s="22" t="n">
        <v>0</v>
      </c>
      <c r="L602" s="22" t="n">
        <f aca="false">G602*I602-J602+K602</f>
        <v>6412</v>
      </c>
    </row>
    <row r="603" customFormat="false" ht="18.75" hidden="false" customHeight="true" outlineLevel="0" collapsed="false">
      <c r="A603" s="17" t="n">
        <v>599</v>
      </c>
      <c r="B603" s="18" t="s">
        <v>420</v>
      </c>
      <c r="C603" s="23" t="s">
        <v>421</v>
      </c>
      <c r="D603" s="9" t="s">
        <v>42</v>
      </c>
      <c r="E603" s="9" t="s">
        <v>72</v>
      </c>
      <c r="F603" s="18" t="s">
        <v>39</v>
      </c>
      <c r="G603" s="19" t="n">
        <v>320.25</v>
      </c>
      <c r="H603" s="18" t="s">
        <v>73</v>
      </c>
      <c r="I603" s="19" t="n">
        <v>21</v>
      </c>
      <c r="J603" s="19" t="n">
        <v>0</v>
      </c>
      <c r="K603" s="19" t="n">
        <v>0</v>
      </c>
      <c r="L603" s="19" t="n">
        <f aca="false">G603*I603-J603+K603</f>
        <v>6725.25</v>
      </c>
    </row>
    <row r="604" customFormat="false" ht="18.75" hidden="false" customHeight="true" outlineLevel="0" collapsed="false">
      <c r="A604" s="20" t="n">
        <v>600</v>
      </c>
      <c r="B604" s="21" t="s">
        <v>420</v>
      </c>
      <c r="C604" s="24" t="s">
        <v>421</v>
      </c>
      <c r="D604" s="13" t="s">
        <v>42</v>
      </c>
      <c r="E604" s="13" t="s">
        <v>513</v>
      </c>
      <c r="F604" s="21" t="s">
        <v>39</v>
      </c>
      <c r="G604" s="22" t="n">
        <v>100</v>
      </c>
      <c r="H604" s="21" t="s">
        <v>67</v>
      </c>
      <c r="I604" s="22" t="n">
        <v>105</v>
      </c>
      <c r="J604" s="22" t="n">
        <v>0</v>
      </c>
      <c r="K604" s="22" t="n">
        <v>0</v>
      </c>
      <c r="L604" s="22" t="n">
        <f aca="false">G604*I604-J604+K604</f>
        <v>10500</v>
      </c>
    </row>
    <row r="605" customFormat="false" ht="18.75" hidden="false" customHeight="true" outlineLevel="0" collapsed="false">
      <c r="A605" s="17" t="n">
        <v>601</v>
      </c>
      <c r="B605" s="18" t="s">
        <v>420</v>
      </c>
      <c r="C605" s="23" t="s">
        <v>421</v>
      </c>
      <c r="D605" s="9" t="s">
        <v>42</v>
      </c>
      <c r="E605" s="9" t="s">
        <v>69</v>
      </c>
      <c r="F605" s="18" t="s">
        <v>39</v>
      </c>
      <c r="G605" s="19" t="n">
        <v>3</v>
      </c>
      <c r="H605" s="18" t="s">
        <v>67</v>
      </c>
      <c r="I605" s="19" t="n">
        <v>5000</v>
      </c>
      <c r="J605" s="19" t="n">
        <v>0</v>
      </c>
      <c r="K605" s="19" t="n">
        <v>0</v>
      </c>
      <c r="L605" s="19" t="n">
        <f aca="false">G605*I605-J605+K605</f>
        <v>15000</v>
      </c>
    </row>
    <row r="606" customFormat="false" ht="18.75" hidden="false" customHeight="true" outlineLevel="0" collapsed="false">
      <c r="A606" s="20" t="n">
        <v>602</v>
      </c>
      <c r="B606" s="21" t="s">
        <v>420</v>
      </c>
      <c r="C606" s="24" t="s">
        <v>421</v>
      </c>
      <c r="D606" s="13" t="s">
        <v>42</v>
      </c>
      <c r="E606" s="13" t="s">
        <v>453</v>
      </c>
      <c r="F606" s="21" t="s">
        <v>39</v>
      </c>
      <c r="G606" s="22" t="n">
        <v>2</v>
      </c>
      <c r="H606" s="21"/>
      <c r="I606" s="22" t="n">
        <v>1700</v>
      </c>
      <c r="J606" s="22" t="n">
        <v>0</v>
      </c>
      <c r="K606" s="22" t="n">
        <v>0</v>
      </c>
      <c r="L606" s="22" t="n">
        <f aca="false">G606*I606-J606+K606</f>
        <v>3400</v>
      </c>
    </row>
    <row r="607" customFormat="false" ht="18.75" hidden="false" customHeight="true" outlineLevel="0" collapsed="false">
      <c r="A607" s="17" t="n">
        <v>603</v>
      </c>
      <c r="B607" s="18" t="s">
        <v>420</v>
      </c>
      <c r="C607" s="23" t="s">
        <v>421</v>
      </c>
      <c r="D607" s="9" t="s">
        <v>42</v>
      </c>
      <c r="E607" s="9" t="s">
        <v>452</v>
      </c>
      <c r="F607" s="18" t="s">
        <v>39</v>
      </c>
      <c r="G607" s="19" t="n">
        <v>3</v>
      </c>
      <c r="H607" s="18" t="s">
        <v>67</v>
      </c>
      <c r="I607" s="19" t="n">
        <v>1100</v>
      </c>
      <c r="J607" s="19" t="n">
        <v>0</v>
      </c>
      <c r="K607" s="19" t="n">
        <v>0</v>
      </c>
      <c r="L607" s="19" t="n">
        <f aca="false">G607*I607-J607+K607</f>
        <v>3300</v>
      </c>
    </row>
    <row r="608" customFormat="false" ht="18.75" hidden="false" customHeight="true" outlineLevel="0" collapsed="false">
      <c r="A608" s="20" t="n">
        <v>604</v>
      </c>
      <c r="B608" s="21" t="s">
        <v>422</v>
      </c>
      <c r="C608" s="24" t="s">
        <v>423</v>
      </c>
      <c r="D608" s="13" t="s">
        <v>38</v>
      </c>
      <c r="E608" s="13" t="s">
        <v>64</v>
      </c>
      <c r="F608" s="21" t="s">
        <v>39</v>
      </c>
      <c r="G608" s="22" t="n">
        <v>7176.5</v>
      </c>
      <c r="H608" s="21" t="s">
        <v>65</v>
      </c>
      <c r="I608" s="22" t="n">
        <v>16.5</v>
      </c>
      <c r="J608" s="22" t="n">
        <v>0</v>
      </c>
      <c r="K608" s="22" t="n">
        <v>0</v>
      </c>
      <c r="L608" s="22" t="n">
        <f aca="false">G608*I608-J608+K608</f>
        <v>118412.25</v>
      </c>
    </row>
    <row r="609" customFormat="false" ht="18.75" hidden="false" customHeight="true" outlineLevel="0" collapsed="false">
      <c r="A609" s="17" t="n">
        <v>605</v>
      </c>
      <c r="B609" s="18" t="s">
        <v>422</v>
      </c>
      <c r="C609" s="23" t="s">
        <v>423</v>
      </c>
      <c r="D609" s="9" t="s">
        <v>38</v>
      </c>
      <c r="E609" s="9" t="s">
        <v>453</v>
      </c>
      <c r="F609" s="18" t="s">
        <v>39</v>
      </c>
      <c r="G609" s="19" t="n">
        <v>4</v>
      </c>
      <c r="H609" s="18"/>
      <c r="I609" s="19" t="n">
        <v>1600</v>
      </c>
      <c r="J609" s="19" t="n">
        <v>0</v>
      </c>
      <c r="K609" s="19" t="n">
        <v>0</v>
      </c>
      <c r="L609" s="19" t="n">
        <f aca="false">G609*I609-J609+K609</f>
        <v>6400</v>
      </c>
    </row>
    <row r="610" customFormat="false" ht="18.75" hidden="false" customHeight="true" outlineLevel="0" collapsed="false">
      <c r="A610" s="20" t="n">
        <v>606</v>
      </c>
      <c r="B610" s="21" t="s">
        <v>422</v>
      </c>
      <c r="C610" s="24" t="s">
        <v>423</v>
      </c>
      <c r="D610" s="13" t="s">
        <v>38</v>
      </c>
      <c r="E610" s="13" t="s">
        <v>452</v>
      </c>
      <c r="F610" s="21" t="s">
        <v>39</v>
      </c>
      <c r="G610" s="22" t="n">
        <v>6</v>
      </c>
      <c r="H610" s="21" t="s">
        <v>67</v>
      </c>
      <c r="I610" s="22" t="n">
        <v>1125</v>
      </c>
      <c r="J610" s="22" t="n">
        <v>0</v>
      </c>
      <c r="K610" s="22" t="n">
        <v>0</v>
      </c>
      <c r="L610" s="22" t="n">
        <f aca="false">G610*I610-J610+K610</f>
        <v>6750</v>
      </c>
    </row>
    <row r="611" customFormat="false" ht="18.75" hidden="false" customHeight="true" outlineLevel="0" collapsed="false">
      <c r="A611" s="17" t="n">
        <v>607</v>
      </c>
      <c r="B611" s="18" t="s">
        <v>424</v>
      </c>
      <c r="C611" s="23" t="s">
        <v>425</v>
      </c>
      <c r="D611" s="9" t="s">
        <v>42</v>
      </c>
      <c r="E611" s="9" t="s">
        <v>462</v>
      </c>
      <c r="F611" s="18" t="s">
        <v>39</v>
      </c>
      <c r="G611" s="19" t="n">
        <v>20</v>
      </c>
      <c r="H611" s="18" t="s">
        <v>67</v>
      </c>
      <c r="I611" s="19" t="n">
        <v>625</v>
      </c>
      <c r="J611" s="19" t="n">
        <v>0</v>
      </c>
      <c r="K611" s="19" t="n">
        <v>0</v>
      </c>
      <c r="L611" s="19" t="n">
        <f aca="false">G611*I611-J611+K611</f>
        <v>12500</v>
      </c>
    </row>
    <row r="612" customFormat="false" ht="18.75" hidden="false" customHeight="true" outlineLevel="0" collapsed="false">
      <c r="A612" s="20" t="n">
        <v>608</v>
      </c>
      <c r="B612" s="21" t="s">
        <v>424</v>
      </c>
      <c r="C612" s="24" t="s">
        <v>425</v>
      </c>
      <c r="D612" s="13" t="s">
        <v>42</v>
      </c>
      <c r="E612" s="13" t="s">
        <v>508</v>
      </c>
      <c r="F612" s="21" t="s">
        <v>39</v>
      </c>
      <c r="G612" s="22" t="n">
        <v>24</v>
      </c>
      <c r="H612" s="21" t="s">
        <v>67</v>
      </c>
      <c r="I612" s="22" t="n">
        <v>600</v>
      </c>
      <c r="J612" s="22" t="n">
        <v>0</v>
      </c>
      <c r="K612" s="22" t="n">
        <v>0</v>
      </c>
      <c r="L612" s="22" t="n">
        <f aca="false">G612*I612-J612+K612</f>
        <v>14400</v>
      </c>
    </row>
    <row r="613" customFormat="false" ht="18.75" hidden="false" customHeight="true" outlineLevel="0" collapsed="false">
      <c r="A613" s="17" t="n">
        <v>609</v>
      </c>
      <c r="B613" s="18" t="s">
        <v>426</v>
      </c>
      <c r="C613" s="23" t="s">
        <v>427</v>
      </c>
      <c r="D613" s="9" t="s">
        <v>38</v>
      </c>
      <c r="E613" s="9" t="s">
        <v>64</v>
      </c>
      <c r="F613" s="18" t="s">
        <v>39</v>
      </c>
      <c r="G613" s="19" t="n">
        <v>899.75</v>
      </c>
      <c r="H613" s="18" t="s">
        <v>65</v>
      </c>
      <c r="I613" s="19" t="n">
        <v>16.5</v>
      </c>
      <c r="J613" s="19" t="n">
        <v>0</v>
      </c>
      <c r="K613" s="19" t="n">
        <v>0</v>
      </c>
      <c r="L613" s="19" t="n">
        <f aca="false">G613*I613-J613+K613</f>
        <v>14845.875</v>
      </c>
    </row>
    <row r="614" customFormat="false" ht="18.75" hidden="false" customHeight="true" outlineLevel="0" collapsed="false">
      <c r="A614" s="20" t="n">
        <v>610</v>
      </c>
      <c r="B614" s="21" t="s">
        <v>426</v>
      </c>
      <c r="C614" s="24" t="s">
        <v>427</v>
      </c>
      <c r="D614" s="13" t="s">
        <v>38</v>
      </c>
      <c r="E614" s="13" t="s">
        <v>72</v>
      </c>
      <c r="F614" s="21" t="s">
        <v>39</v>
      </c>
      <c r="G614" s="22" t="n">
        <v>270</v>
      </c>
      <c r="H614" s="21" t="s">
        <v>73</v>
      </c>
      <c r="I614" s="22" t="n">
        <v>20</v>
      </c>
      <c r="J614" s="22" t="n">
        <v>0</v>
      </c>
      <c r="K614" s="22" t="n">
        <v>0</v>
      </c>
      <c r="L614" s="22" t="n">
        <f aca="false">G614*I614-J614+K614</f>
        <v>5400</v>
      </c>
    </row>
    <row r="615" customFormat="false" ht="18.75" hidden="false" customHeight="true" outlineLevel="0" collapsed="false">
      <c r="A615" s="17" t="n">
        <v>611</v>
      </c>
      <c r="B615" s="18" t="s">
        <v>428</v>
      </c>
      <c r="C615" s="23" t="s">
        <v>429</v>
      </c>
      <c r="D615" s="9" t="s">
        <v>38</v>
      </c>
      <c r="E615" s="9" t="s">
        <v>514</v>
      </c>
      <c r="F615" s="18" t="s">
        <v>39</v>
      </c>
      <c r="G615" s="19" t="n">
        <v>30</v>
      </c>
      <c r="H615" s="18" t="s">
        <v>67</v>
      </c>
      <c r="I615" s="19" t="n">
        <v>410</v>
      </c>
      <c r="J615" s="19" t="n">
        <v>0</v>
      </c>
      <c r="K615" s="19" t="n">
        <v>0</v>
      </c>
      <c r="L615" s="19" t="n">
        <f aca="false">G615*I615-J615+K615</f>
        <v>12300</v>
      </c>
    </row>
    <row r="616" customFormat="false" ht="18.75" hidden="false" customHeight="true" outlineLevel="0" collapsed="false">
      <c r="A616" s="20" t="n">
        <v>612</v>
      </c>
      <c r="B616" s="21" t="s">
        <v>428</v>
      </c>
      <c r="C616" s="24" t="s">
        <v>429</v>
      </c>
      <c r="D616" s="13" t="s">
        <v>38</v>
      </c>
      <c r="E616" s="13" t="s">
        <v>76</v>
      </c>
      <c r="F616" s="21" t="s">
        <v>39</v>
      </c>
      <c r="G616" s="22" t="n">
        <v>60</v>
      </c>
      <c r="H616" s="21" t="s">
        <v>67</v>
      </c>
      <c r="I616" s="22" t="n">
        <v>185</v>
      </c>
      <c r="J616" s="22" t="n">
        <v>0</v>
      </c>
      <c r="K616" s="22" t="n">
        <v>0</v>
      </c>
      <c r="L616" s="22" t="n">
        <f aca="false">G616*I616-J616+K616</f>
        <v>11100</v>
      </c>
    </row>
    <row r="617" customFormat="false" ht="18.75" hidden="false" customHeight="true" outlineLevel="0" collapsed="false">
      <c r="A617" s="17" t="n">
        <v>613</v>
      </c>
      <c r="B617" s="18" t="s">
        <v>428</v>
      </c>
      <c r="C617" s="23" t="s">
        <v>429</v>
      </c>
      <c r="D617" s="9" t="s">
        <v>38</v>
      </c>
      <c r="E617" s="9" t="s">
        <v>66</v>
      </c>
      <c r="F617" s="18" t="s">
        <v>39</v>
      </c>
      <c r="G617" s="19" t="n">
        <v>100</v>
      </c>
      <c r="H617" s="18" t="s">
        <v>67</v>
      </c>
      <c r="I617" s="19" t="n">
        <v>244</v>
      </c>
      <c r="J617" s="19" t="n">
        <v>0</v>
      </c>
      <c r="K617" s="19" t="n">
        <v>0</v>
      </c>
      <c r="L617" s="19" t="n">
        <f aca="false">G617*I617-J617+K617</f>
        <v>24400</v>
      </c>
    </row>
    <row r="618" customFormat="false" ht="18.75" hidden="false" customHeight="true" outlineLevel="0" collapsed="false">
      <c r="A618" s="20" t="n">
        <v>614</v>
      </c>
      <c r="B618" s="21" t="s">
        <v>428</v>
      </c>
      <c r="C618" s="24" t="s">
        <v>429</v>
      </c>
      <c r="D618" s="13" t="s">
        <v>38</v>
      </c>
      <c r="E618" s="13" t="s">
        <v>456</v>
      </c>
      <c r="F618" s="21" t="s">
        <v>39</v>
      </c>
      <c r="G618" s="22" t="n">
        <v>66.4</v>
      </c>
      <c r="H618" s="21" t="s">
        <v>65</v>
      </c>
      <c r="I618" s="22" t="n">
        <v>55</v>
      </c>
      <c r="J618" s="22" t="n">
        <v>0</v>
      </c>
      <c r="K618" s="22" t="n">
        <v>0</v>
      </c>
      <c r="L618" s="22" t="n">
        <f aca="false">G618*I618-J618+K618</f>
        <v>3652</v>
      </c>
    </row>
    <row r="619" customFormat="false" ht="18.75" hidden="false" customHeight="true" outlineLevel="0" collapsed="false">
      <c r="A619" s="17" t="n">
        <v>615</v>
      </c>
      <c r="B619" s="18" t="s">
        <v>431</v>
      </c>
      <c r="C619" s="23" t="s">
        <v>432</v>
      </c>
      <c r="D619" s="9" t="s">
        <v>42</v>
      </c>
      <c r="E619" s="9" t="s">
        <v>69</v>
      </c>
      <c r="F619" s="18" t="s">
        <v>39</v>
      </c>
      <c r="G619" s="19" t="n">
        <v>6</v>
      </c>
      <c r="H619" s="18" t="s">
        <v>67</v>
      </c>
      <c r="I619" s="19" t="n">
        <v>4800</v>
      </c>
      <c r="J619" s="19" t="n">
        <v>0</v>
      </c>
      <c r="K619" s="19" t="n">
        <v>0</v>
      </c>
      <c r="L619" s="19" t="n">
        <f aca="false">G619*I619-J619+K619</f>
        <v>28800</v>
      </c>
    </row>
    <row r="620" customFormat="false" ht="18.75" hidden="false" customHeight="true" outlineLevel="0" collapsed="false">
      <c r="A620" s="20" t="n">
        <v>616</v>
      </c>
      <c r="B620" s="21" t="s">
        <v>433</v>
      </c>
      <c r="C620" s="24" t="s">
        <v>434</v>
      </c>
      <c r="D620" s="13" t="s">
        <v>38</v>
      </c>
      <c r="E620" s="13" t="s">
        <v>64</v>
      </c>
      <c r="F620" s="21" t="s">
        <v>39</v>
      </c>
      <c r="G620" s="22" t="n">
        <v>11051</v>
      </c>
      <c r="H620" s="21" t="s">
        <v>65</v>
      </c>
      <c r="I620" s="22" t="n">
        <v>16.5</v>
      </c>
      <c r="J620" s="22" t="n">
        <v>0</v>
      </c>
      <c r="K620" s="22" t="n">
        <v>0</v>
      </c>
      <c r="L620" s="22" t="n">
        <f aca="false">G620*I620-J620+K620</f>
        <v>182341.5</v>
      </c>
    </row>
    <row r="621" customFormat="false" ht="18.75" hidden="false" customHeight="true" outlineLevel="0" collapsed="false">
      <c r="A621" s="17" t="n">
        <v>617</v>
      </c>
      <c r="B621" s="18" t="s">
        <v>433</v>
      </c>
      <c r="C621" s="23" t="s">
        <v>434</v>
      </c>
      <c r="D621" s="9" t="s">
        <v>38</v>
      </c>
      <c r="E621" s="9" t="s">
        <v>456</v>
      </c>
      <c r="F621" s="18" t="s">
        <v>39</v>
      </c>
      <c r="G621" s="19" t="n">
        <v>32</v>
      </c>
      <c r="H621" s="18" t="s">
        <v>65</v>
      </c>
      <c r="I621" s="19" t="n">
        <v>55</v>
      </c>
      <c r="J621" s="19" t="n">
        <v>0</v>
      </c>
      <c r="K621" s="19" t="n">
        <v>0</v>
      </c>
      <c r="L621" s="19" t="n">
        <f aca="false">G621*I621-J621+K621</f>
        <v>1760</v>
      </c>
    </row>
    <row r="622" customFormat="false" ht="18.75" hidden="false" customHeight="true" outlineLevel="0" collapsed="false">
      <c r="A622" s="20" t="n">
        <v>618</v>
      </c>
      <c r="B622" s="21" t="s">
        <v>433</v>
      </c>
      <c r="C622" s="24" t="s">
        <v>434</v>
      </c>
      <c r="D622" s="13" t="s">
        <v>38</v>
      </c>
      <c r="E622" s="13" t="s">
        <v>541</v>
      </c>
      <c r="F622" s="21" t="s">
        <v>39</v>
      </c>
      <c r="G622" s="22" t="n">
        <v>65</v>
      </c>
      <c r="H622" s="21" t="s">
        <v>65</v>
      </c>
      <c r="I622" s="22" t="n">
        <v>24.4</v>
      </c>
      <c r="J622" s="22" t="n">
        <v>0</v>
      </c>
      <c r="K622" s="22" t="n">
        <v>0</v>
      </c>
      <c r="L622" s="22" t="n">
        <f aca="false">G622*I622-J622+K622</f>
        <v>1586</v>
      </c>
    </row>
    <row r="623" customFormat="false" ht="18.75" hidden="false" customHeight="true" outlineLevel="0" collapsed="false">
      <c r="A623" s="17" t="n">
        <v>619</v>
      </c>
      <c r="B623" s="18" t="s">
        <v>433</v>
      </c>
      <c r="C623" s="23" t="s">
        <v>434</v>
      </c>
      <c r="D623" s="9" t="s">
        <v>38</v>
      </c>
      <c r="E623" s="9" t="s">
        <v>449</v>
      </c>
      <c r="F623" s="18" t="s">
        <v>39</v>
      </c>
      <c r="G623" s="19" t="n">
        <v>120</v>
      </c>
      <c r="H623" s="18" t="s">
        <v>73</v>
      </c>
      <c r="I623" s="19" t="n">
        <v>10</v>
      </c>
      <c r="J623" s="19" t="n">
        <v>0</v>
      </c>
      <c r="K623" s="19" t="n">
        <v>0</v>
      </c>
      <c r="L623" s="19" t="n">
        <f aca="false">G623*I623-J623+K623</f>
        <v>1200</v>
      </c>
    </row>
    <row r="624" customFormat="false" ht="18.75" hidden="false" customHeight="true" outlineLevel="0" collapsed="false">
      <c r="A624" s="20" t="n">
        <v>620</v>
      </c>
      <c r="B624" s="21" t="s">
        <v>435</v>
      </c>
      <c r="C624" s="24" t="s">
        <v>436</v>
      </c>
      <c r="D624" s="13" t="s">
        <v>38</v>
      </c>
      <c r="E624" s="13" t="s">
        <v>69</v>
      </c>
      <c r="F624" s="21" t="s">
        <v>39</v>
      </c>
      <c r="G624" s="22" t="n">
        <v>10</v>
      </c>
      <c r="H624" s="21" t="s">
        <v>67</v>
      </c>
      <c r="I624" s="22" t="n">
        <v>4700</v>
      </c>
      <c r="J624" s="22" t="n">
        <v>0</v>
      </c>
      <c r="K624" s="22" t="n">
        <v>0</v>
      </c>
      <c r="L624" s="22" t="n">
        <f aca="false">G624*I624-J624+K624</f>
        <v>47000</v>
      </c>
    </row>
    <row r="625" customFormat="false" ht="21.75" hidden="false" customHeight="true" outlineLevel="0" collapsed="false">
      <c r="A625" s="25"/>
      <c r="B625" s="25"/>
      <c r="C625" s="25"/>
      <c r="D625" s="25"/>
      <c r="E625" s="25"/>
      <c r="F625" s="26" t="s">
        <v>437</v>
      </c>
      <c r="G625" s="27" t="n">
        <f aca="false">SUM(G5:G624)</f>
        <v>524124.35</v>
      </c>
      <c r="H625" s="25"/>
      <c r="I625" s="25"/>
      <c r="J625" s="27" t="n">
        <f aca="false">SUM(J5:J624)</f>
        <v>10100</v>
      </c>
      <c r="K625" s="27" t="n">
        <f aca="false">SUM(K5:K624)</f>
        <v>36535</v>
      </c>
      <c r="L625" s="27" t="n">
        <f aca="false">SUM(L5:L624)</f>
        <v>15278330.8875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23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58"/>
  </cols>
  <sheetData>
    <row r="1" customFormat="false" ht="18.55" hidden="false" customHeight="false" outlineLevel="0" collapsed="false">
      <c r="A1" s="1" t="s">
        <v>542</v>
      </c>
    </row>
    <row r="2" customFormat="false" ht="15" hidden="false" customHeight="false" outlineLevel="0" collapsed="false">
      <c r="A2" s="2" t="s">
        <v>543</v>
      </c>
    </row>
    <row r="4" customFormat="false" ht="24" hidden="false" customHeight="true" outlineLevel="0" collapsed="false">
      <c r="A4" s="5" t="s">
        <v>79</v>
      </c>
      <c r="B4" s="5" t="s">
        <v>544</v>
      </c>
      <c r="C4" s="5" t="s">
        <v>81</v>
      </c>
      <c r="D4" s="5" t="s">
        <v>545</v>
      </c>
      <c r="E4" s="5" t="s">
        <v>546</v>
      </c>
      <c r="F4" s="5" t="s">
        <v>547</v>
      </c>
      <c r="G4" s="5" t="s">
        <v>86</v>
      </c>
      <c r="H4" s="5" t="s">
        <v>548</v>
      </c>
    </row>
    <row r="5" customFormat="false" ht="18.75" hidden="false" customHeight="true" outlineLevel="0" collapsed="false">
      <c r="A5" s="17" t="n">
        <v>1</v>
      </c>
      <c r="B5" s="18" t="s">
        <v>88</v>
      </c>
      <c r="C5" s="23" t="s">
        <v>89</v>
      </c>
      <c r="D5" s="18" t="s">
        <v>549</v>
      </c>
      <c r="E5" s="9" t="s">
        <v>48</v>
      </c>
      <c r="F5" s="19" t="n">
        <v>20000</v>
      </c>
      <c r="G5" s="18" t="s">
        <v>90</v>
      </c>
      <c r="H5" s="9"/>
    </row>
    <row r="6" customFormat="false" ht="18.75" hidden="false" customHeight="true" outlineLevel="0" collapsed="false">
      <c r="A6" s="20" t="n">
        <v>2</v>
      </c>
      <c r="B6" s="21" t="s">
        <v>91</v>
      </c>
      <c r="C6" s="24" t="s">
        <v>550</v>
      </c>
      <c r="D6" s="21" t="s">
        <v>549</v>
      </c>
      <c r="E6" s="13" t="s">
        <v>551</v>
      </c>
      <c r="F6" s="22" t="n">
        <v>25000</v>
      </c>
      <c r="G6" s="21" t="s">
        <v>90</v>
      </c>
      <c r="H6" s="13"/>
    </row>
    <row r="7" customFormat="false" ht="18.75" hidden="false" customHeight="true" outlineLevel="0" collapsed="false">
      <c r="A7" s="17" t="n">
        <v>3</v>
      </c>
      <c r="B7" s="18" t="s">
        <v>552</v>
      </c>
      <c r="C7" s="23" t="s">
        <v>553</v>
      </c>
      <c r="D7" s="18" t="s">
        <v>554</v>
      </c>
      <c r="E7" s="9" t="s">
        <v>555</v>
      </c>
      <c r="F7" s="19" t="n">
        <v>100000</v>
      </c>
      <c r="G7" s="18" t="s">
        <v>90</v>
      </c>
      <c r="H7" s="9"/>
    </row>
    <row r="8" customFormat="false" ht="18.75" hidden="false" customHeight="true" outlineLevel="0" collapsed="false">
      <c r="A8" s="20" t="n">
        <v>4</v>
      </c>
      <c r="B8" s="21" t="s">
        <v>556</v>
      </c>
      <c r="C8" s="24" t="s">
        <v>557</v>
      </c>
      <c r="D8" s="21" t="s">
        <v>554</v>
      </c>
      <c r="E8" s="13" t="s">
        <v>555</v>
      </c>
      <c r="F8" s="22" t="n">
        <v>150000</v>
      </c>
      <c r="G8" s="21" t="s">
        <v>90</v>
      </c>
      <c r="H8" s="13"/>
    </row>
    <row r="9" customFormat="false" ht="18.75" hidden="false" customHeight="true" outlineLevel="0" collapsed="false">
      <c r="A9" s="17" t="n">
        <v>5</v>
      </c>
      <c r="B9" s="18" t="s">
        <v>93</v>
      </c>
      <c r="C9" s="23" t="s">
        <v>558</v>
      </c>
      <c r="D9" s="18" t="s">
        <v>549</v>
      </c>
      <c r="E9" s="9" t="s">
        <v>38</v>
      </c>
      <c r="F9" s="19" t="n">
        <v>45000</v>
      </c>
      <c r="G9" s="18" t="s">
        <v>90</v>
      </c>
      <c r="H9" s="9"/>
    </row>
    <row r="10" customFormat="false" ht="18.75" hidden="false" customHeight="true" outlineLevel="0" collapsed="false">
      <c r="A10" s="20" t="n">
        <v>6</v>
      </c>
      <c r="B10" s="21" t="s">
        <v>95</v>
      </c>
      <c r="C10" s="24" t="s">
        <v>559</v>
      </c>
      <c r="D10" s="21" t="s">
        <v>549</v>
      </c>
      <c r="E10" s="13" t="s">
        <v>38</v>
      </c>
      <c r="F10" s="22" t="n">
        <v>40000</v>
      </c>
      <c r="G10" s="21" t="s">
        <v>90</v>
      </c>
      <c r="H10" s="13"/>
    </row>
    <row r="11" customFormat="false" ht="18.75" hidden="false" customHeight="true" outlineLevel="0" collapsed="false">
      <c r="A11" s="17" t="n">
        <v>7</v>
      </c>
      <c r="B11" s="18" t="s">
        <v>97</v>
      </c>
      <c r="C11" s="23" t="s">
        <v>559</v>
      </c>
      <c r="D11" s="18" t="s">
        <v>549</v>
      </c>
      <c r="E11" s="9" t="s">
        <v>38</v>
      </c>
      <c r="F11" s="19" t="n">
        <v>31000</v>
      </c>
      <c r="G11" s="18" t="s">
        <v>560</v>
      </c>
      <c r="H11" s="9"/>
    </row>
    <row r="12" customFormat="false" ht="18.75" hidden="false" customHeight="true" outlineLevel="0" collapsed="false">
      <c r="A12" s="20" t="n">
        <v>8</v>
      </c>
      <c r="B12" s="21" t="s">
        <v>561</v>
      </c>
      <c r="C12" s="24" t="s">
        <v>180</v>
      </c>
      <c r="D12" s="21" t="s">
        <v>549</v>
      </c>
      <c r="E12" s="13" t="s">
        <v>38</v>
      </c>
      <c r="F12" s="22" t="n">
        <v>26000</v>
      </c>
      <c r="G12" s="21" t="s">
        <v>90</v>
      </c>
      <c r="H12" s="13" t="s">
        <v>562</v>
      </c>
    </row>
    <row r="13" customFormat="false" ht="18.75" hidden="false" customHeight="true" outlineLevel="0" collapsed="false">
      <c r="A13" s="17" t="n">
        <v>9</v>
      </c>
      <c r="B13" s="18" t="s">
        <v>100</v>
      </c>
      <c r="C13" s="23" t="s">
        <v>563</v>
      </c>
      <c r="D13" s="18" t="s">
        <v>549</v>
      </c>
      <c r="E13" s="9" t="s">
        <v>38</v>
      </c>
      <c r="F13" s="19" t="n">
        <v>80000</v>
      </c>
      <c r="G13" s="18" t="s">
        <v>90</v>
      </c>
      <c r="H13" s="9"/>
    </row>
    <row r="14" customFormat="false" ht="18.75" hidden="false" customHeight="true" outlineLevel="0" collapsed="false">
      <c r="A14" s="20" t="n">
        <v>10</v>
      </c>
      <c r="B14" s="21" t="s">
        <v>102</v>
      </c>
      <c r="C14" s="24" t="s">
        <v>564</v>
      </c>
      <c r="D14" s="21" t="s">
        <v>549</v>
      </c>
      <c r="E14" s="13" t="s">
        <v>38</v>
      </c>
      <c r="F14" s="22" t="n">
        <v>10000</v>
      </c>
      <c r="G14" s="21" t="s">
        <v>560</v>
      </c>
      <c r="H14" s="13"/>
    </row>
    <row r="15" customFormat="false" ht="18.75" hidden="false" customHeight="true" outlineLevel="0" collapsed="false">
      <c r="A15" s="17" t="n">
        <v>11</v>
      </c>
      <c r="B15" s="18" t="s">
        <v>105</v>
      </c>
      <c r="C15" s="23" t="s">
        <v>188</v>
      </c>
      <c r="D15" s="18" t="s">
        <v>549</v>
      </c>
      <c r="E15" s="9" t="s">
        <v>38</v>
      </c>
      <c r="F15" s="19" t="n">
        <v>65000</v>
      </c>
      <c r="G15" s="18" t="s">
        <v>90</v>
      </c>
      <c r="H15" s="9"/>
    </row>
    <row r="16" customFormat="false" ht="18.75" hidden="false" customHeight="true" outlineLevel="0" collapsed="false">
      <c r="A16" s="20" t="n">
        <v>12</v>
      </c>
      <c r="B16" s="21" t="s">
        <v>125</v>
      </c>
      <c r="C16" s="24" t="s">
        <v>188</v>
      </c>
      <c r="D16" s="21" t="s">
        <v>549</v>
      </c>
      <c r="E16" s="13" t="s">
        <v>183</v>
      </c>
      <c r="F16" s="22" t="n">
        <v>25000</v>
      </c>
      <c r="G16" s="21" t="s">
        <v>147</v>
      </c>
      <c r="H16" s="13"/>
    </row>
    <row r="17" customFormat="false" ht="18.75" hidden="false" customHeight="true" outlineLevel="0" collapsed="false">
      <c r="A17" s="17" t="n">
        <v>13</v>
      </c>
      <c r="B17" s="18" t="s">
        <v>108</v>
      </c>
      <c r="C17" s="23" t="s">
        <v>565</v>
      </c>
      <c r="D17" s="18" t="s">
        <v>549</v>
      </c>
      <c r="E17" s="9" t="s">
        <v>38</v>
      </c>
      <c r="F17" s="19" t="n">
        <v>15500</v>
      </c>
      <c r="G17" s="18" t="s">
        <v>90</v>
      </c>
      <c r="H17" s="9"/>
    </row>
    <row r="18" customFormat="false" ht="18.75" hidden="false" customHeight="true" outlineLevel="0" collapsed="false">
      <c r="A18" s="20" t="n">
        <v>14</v>
      </c>
      <c r="B18" s="21" t="s">
        <v>111</v>
      </c>
      <c r="C18" s="24" t="s">
        <v>566</v>
      </c>
      <c r="D18" s="21" t="s">
        <v>549</v>
      </c>
      <c r="E18" s="13" t="s">
        <v>38</v>
      </c>
      <c r="F18" s="22" t="n">
        <v>40000</v>
      </c>
      <c r="G18" s="21" t="s">
        <v>90</v>
      </c>
      <c r="H18" s="13"/>
    </row>
    <row r="19" customFormat="false" ht="18.75" hidden="false" customHeight="true" outlineLevel="0" collapsed="false">
      <c r="A19" s="17" t="n">
        <v>15</v>
      </c>
      <c r="B19" s="18" t="s">
        <v>115</v>
      </c>
      <c r="C19" s="23" t="s">
        <v>192</v>
      </c>
      <c r="D19" s="18" t="s">
        <v>549</v>
      </c>
      <c r="E19" s="9" t="s">
        <v>38</v>
      </c>
      <c r="F19" s="19" t="n">
        <v>17000</v>
      </c>
      <c r="G19" s="18" t="s">
        <v>90</v>
      </c>
      <c r="H19" s="9"/>
    </row>
    <row r="20" customFormat="false" ht="18.75" hidden="false" customHeight="true" outlineLevel="0" collapsed="false">
      <c r="A20" s="20" t="n">
        <v>16</v>
      </c>
      <c r="B20" s="21" t="s">
        <v>113</v>
      </c>
      <c r="C20" s="24" t="s">
        <v>567</v>
      </c>
      <c r="D20" s="21" t="s">
        <v>549</v>
      </c>
      <c r="E20" s="13" t="s">
        <v>38</v>
      </c>
      <c r="F20" s="22" t="n">
        <v>45000</v>
      </c>
      <c r="G20" s="21" t="s">
        <v>90</v>
      </c>
      <c r="H20" s="13"/>
    </row>
    <row r="21" customFormat="false" ht="18.75" hidden="false" customHeight="true" outlineLevel="0" collapsed="false">
      <c r="A21" s="17" t="n">
        <v>17</v>
      </c>
      <c r="B21" s="18" t="s">
        <v>117</v>
      </c>
      <c r="C21" s="23" t="s">
        <v>198</v>
      </c>
      <c r="D21" s="18" t="s">
        <v>549</v>
      </c>
      <c r="E21" s="9" t="s">
        <v>38</v>
      </c>
      <c r="F21" s="19" t="n">
        <v>245000</v>
      </c>
      <c r="G21" s="18" t="s">
        <v>90</v>
      </c>
      <c r="H21" s="9"/>
    </row>
    <row r="22" customFormat="false" ht="18.75" hidden="false" customHeight="true" outlineLevel="0" collapsed="false">
      <c r="A22" s="20" t="n">
        <v>18</v>
      </c>
      <c r="B22" s="21" t="s">
        <v>568</v>
      </c>
      <c r="C22" s="24" t="s">
        <v>569</v>
      </c>
      <c r="D22" s="21" t="s">
        <v>549</v>
      </c>
      <c r="E22" s="13" t="s">
        <v>38</v>
      </c>
      <c r="F22" s="22" t="n">
        <v>14000</v>
      </c>
      <c r="G22" s="21" t="s">
        <v>90</v>
      </c>
      <c r="H22" s="13"/>
    </row>
    <row r="23" customFormat="false" ht="18.75" hidden="false" customHeight="true" outlineLevel="0" collapsed="false">
      <c r="A23" s="17" t="n">
        <v>19</v>
      </c>
      <c r="B23" s="18" t="s">
        <v>119</v>
      </c>
      <c r="C23" s="23" t="s">
        <v>570</v>
      </c>
      <c r="D23" s="18" t="s">
        <v>549</v>
      </c>
      <c r="E23" s="9" t="s">
        <v>38</v>
      </c>
      <c r="F23" s="19" t="n">
        <v>30000</v>
      </c>
      <c r="G23" s="18" t="s">
        <v>147</v>
      </c>
      <c r="H23" s="9"/>
    </row>
    <row r="24" customFormat="false" ht="18.75" hidden="false" customHeight="true" outlineLevel="0" collapsed="false">
      <c r="A24" s="20" t="n">
        <v>20</v>
      </c>
      <c r="B24" s="21" t="s">
        <v>122</v>
      </c>
      <c r="C24" s="24" t="s">
        <v>571</v>
      </c>
      <c r="D24" s="21" t="s">
        <v>549</v>
      </c>
      <c r="E24" s="13" t="s">
        <v>38</v>
      </c>
      <c r="F24" s="22" t="n">
        <v>70000</v>
      </c>
      <c r="G24" s="21" t="s">
        <v>90</v>
      </c>
      <c r="H24" s="13"/>
    </row>
    <row r="25" customFormat="false" ht="18.75" hidden="false" customHeight="true" outlineLevel="0" collapsed="false">
      <c r="A25" s="17" t="n">
        <v>21</v>
      </c>
      <c r="B25" s="18" t="s">
        <v>127</v>
      </c>
      <c r="C25" s="23" t="s">
        <v>572</v>
      </c>
      <c r="D25" s="18" t="s">
        <v>549</v>
      </c>
      <c r="E25" s="9" t="s">
        <v>38</v>
      </c>
      <c r="F25" s="19" t="n">
        <v>35700</v>
      </c>
      <c r="G25" s="18" t="s">
        <v>90</v>
      </c>
      <c r="H25" s="9"/>
    </row>
    <row r="26" customFormat="false" ht="18.75" hidden="false" customHeight="true" outlineLevel="0" collapsed="false">
      <c r="A26" s="20" t="n">
        <v>22</v>
      </c>
      <c r="B26" s="21" t="s">
        <v>129</v>
      </c>
      <c r="C26" s="24" t="s">
        <v>573</v>
      </c>
      <c r="D26" s="21" t="s">
        <v>549</v>
      </c>
      <c r="E26" s="13" t="s">
        <v>38</v>
      </c>
      <c r="F26" s="22" t="n">
        <v>24300</v>
      </c>
      <c r="G26" s="21" t="s">
        <v>147</v>
      </c>
      <c r="H26" s="13"/>
    </row>
    <row r="27" customFormat="false" ht="18.75" hidden="false" customHeight="true" outlineLevel="0" collapsed="false">
      <c r="A27" s="17" t="n">
        <v>23</v>
      </c>
      <c r="B27" s="18" t="s">
        <v>131</v>
      </c>
      <c r="C27" s="23" t="s">
        <v>213</v>
      </c>
      <c r="D27" s="18" t="s">
        <v>549</v>
      </c>
      <c r="E27" s="9" t="s">
        <v>38</v>
      </c>
      <c r="F27" s="19" t="n">
        <v>15000</v>
      </c>
      <c r="G27" s="18" t="s">
        <v>90</v>
      </c>
      <c r="H27" s="9"/>
    </row>
    <row r="28" customFormat="false" ht="18.75" hidden="false" customHeight="true" outlineLevel="0" collapsed="false">
      <c r="A28" s="20" t="n">
        <v>24</v>
      </c>
      <c r="B28" s="21" t="s">
        <v>133</v>
      </c>
      <c r="C28" s="24" t="s">
        <v>217</v>
      </c>
      <c r="D28" s="21" t="s">
        <v>549</v>
      </c>
      <c r="E28" s="13" t="s">
        <v>38</v>
      </c>
      <c r="F28" s="22" t="n">
        <v>50000</v>
      </c>
      <c r="G28" s="21" t="s">
        <v>147</v>
      </c>
      <c r="H28" s="13"/>
    </row>
    <row r="29" customFormat="false" ht="18.75" hidden="false" customHeight="true" outlineLevel="0" collapsed="false">
      <c r="A29" s="17" t="n">
        <v>25</v>
      </c>
      <c r="B29" s="18" t="s">
        <v>135</v>
      </c>
      <c r="C29" s="23" t="s">
        <v>574</v>
      </c>
      <c r="D29" s="18" t="s">
        <v>549</v>
      </c>
      <c r="E29" s="9" t="s">
        <v>38</v>
      </c>
      <c r="F29" s="19" t="n">
        <v>86000</v>
      </c>
      <c r="G29" s="18" t="s">
        <v>90</v>
      </c>
      <c r="H29" s="9" t="s">
        <v>575</v>
      </c>
    </row>
    <row r="30" customFormat="false" ht="18.75" hidden="false" customHeight="true" outlineLevel="0" collapsed="false">
      <c r="A30" s="20" t="n">
        <v>26</v>
      </c>
      <c r="B30" s="21" t="s">
        <v>137</v>
      </c>
      <c r="C30" s="24" t="s">
        <v>219</v>
      </c>
      <c r="D30" s="21" t="s">
        <v>549</v>
      </c>
      <c r="E30" s="13" t="s">
        <v>38</v>
      </c>
      <c r="F30" s="22" t="n">
        <v>62000</v>
      </c>
      <c r="G30" s="21" t="s">
        <v>90</v>
      </c>
      <c r="H30" s="13"/>
    </row>
    <row r="31" customFormat="false" ht="18.75" hidden="false" customHeight="true" outlineLevel="0" collapsed="false">
      <c r="A31" s="17" t="n">
        <v>27</v>
      </c>
      <c r="B31" s="18" t="s">
        <v>139</v>
      </c>
      <c r="C31" s="23" t="s">
        <v>219</v>
      </c>
      <c r="D31" s="18" t="s">
        <v>549</v>
      </c>
      <c r="E31" s="9" t="s">
        <v>38</v>
      </c>
      <c r="F31" s="19" t="n">
        <v>57000</v>
      </c>
      <c r="G31" s="18" t="s">
        <v>90</v>
      </c>
      <c r="H31" s="9"/>
    </row>
    <row r="32" customFormat="false" ht="18.75" hidden="false" customHeight="true" outlineLevel="0" collapsed="false">
      <c r="A32" s="20" t="n">
        <v>28</v>
      </c>
      <c r="B32" s="21" t="s">
        <v>141</v>
      </c>
      <c r="C32" s="24" t="s">
        <v>576</v>
      </c>
      <c r="D32" s="21" t="s">
        <v>549</v>
      </c>
      <c r="E32" s="13" t="s">
        <v>46</v>
      </c>
      <c r="F32" s="22" t="n">
        <v>10000</v>
      </c>
      <c r="G32" s="21" t="s">
        <v>90</v>
      </c>
      <c r="H32" s="13"/>
    </row>
    <row r="33" customFormat="false" ht="18.75" hidden="false" customHeight="true" outlineLevel="0" collapsed="false">
      <c r="A33" s="17" t="n">
        <v>29</v>
      </c>
      <c r="B33" s="18" t="s">
        <v>143</v>
      </c>
      <c r="C33" s="23" t="s">
        <v>224</v>
      </c>
      <c r="D33" s="18" t="s">
        <v>549</v>
      </c>
      <c r="E33" s="9" t="s">
        <v>38</v>
      </c>
      <c r="F33" s="19" t="n">
        <v>50000</v>
      </c>
      <c r="G33" s="18" t="s">
        <v>147</v>
      </c>
      <c r="H33" s="9"/>
    </row>
    <row r="34" customFormat="false" ht="18.75" hidden="false" customHeight="true" outlineLevel="0" collapsed="false">
      <c r="A34" s="20" t="n">
        <v>30</v>
      </c>
      <c r="B34" s="21" t="s">
        <v>145</v>
      </c>
      <c r="C34" s="24" t="s">
        <v>224</v>
      </c>
      <c r="D34" s="21" t="s">
        <v>549</v>
      </c>
      <c r="E34" s="13" t="s">
        <v>38</v>
      </c>
      <c r="F34" s="22" t="n">
        <v>135000</v>
      </c>
      <c r="G34" s="21" t="s">
        <v>90</v>
      </c>
      <c r="H34" s="13"/>
    </row>
    <row r="35" customFormat="false" ht="18.75" hidden="false" customHeight="true" outlineLevel="0" collapsed="false">
      <c r="A35" s="17" t="n">
        <v>31</v>
      </c>
      <c r="B35" s="18" t="s">
        <v>148</v>
      </c>
      <c r="C35" s="23" t="s">
        <v>577</v>
      </c>
      <c r="D35" s="18" t="s">
        <v>549</v>
      </c>
      <c r="E35" s="9" t="s">
        <v>46</v>
      </c>
      <c r="F35" s="19" t="n">
        <v>20000</v>
      </c>
      <c r="G35" s="18" t="s">
        <v>90</v>
      </c>
      <c r="H35" s="9"/>
    </row>
    <row r="36" customFormat="false" ht="18.75" hidden="false" customHeight="true" outlineLevel="0" collapsed="false">
      <c r="A36" s="20" t="n">
        <v>32</v>
      </c>
      <c r="B36" s="21" t="s">
        <v>150</v>
      </c>
      <c r="C36" s="24" t="s">
        <v>232</v>
      </c>
      <c r="D36" s="21" t="s">
        <v>549</v>
      </c>
      <c r="E36" s="13" t="s">
        <v>38</v>
      </c>
      <c r="F36" s="22" t="n">
        <v>150000</v>
      </c>
      <c r="G36" s="21" t="s">
        <v>90</v>
      </c>
      <c r="H36" s="13"/>
    </row>
    <row r="37" customFormat="false" ht="18.75" hidden="false" customHeight="true" outlineLevel="0" collapsed="false">
      <c r="A37" s="17" t="n">
        <v>33</v>
      </c>
      <c r="B37" s="18" t="s">
        <v>152</v>
      </c>
      <c r="C37" s="23" t="s">
        <v>236</v>
      </c>
      <c r="D37" s="18" t="s">
        <v>549</v>
      </c>
      <c r="E37" s="9" t="s">
        <v>38</v>
      </c>
      <c r="F37" s="19" t="n">
        <v>20000</v>
      </c>
      <c r="G37" s="18" t="s">
        <v>147</v>
      </c>
      <c r="H37" s="9"/>
    </row>
    <row r="38" customFormat="false" ht="18.75" hidden="false" customHeight="true" outlineLevel="0" collapsed="false">
      <c r="A38" s="20" t="n">
        <v>34</v>
      </c>
      <c r="B38" s="21" t="s">
        <v>154</v>
      </c>
      <c r="C38" s="24" t="s">
        <v>236</v>
      </c>
      <c r="D38" s="21" t="s">
        <v>549</v>
      </c>
      <c r="E38" s="13" t="s">
        <v>38</v>
      </c>
      <c r="F38" s="22" t="n">
        <v>3000</v>
      </c>
      <c r="G38" s="21" t="s">
        <v>90</v>
      </c>
      <c r="H38" s="13"/>
    </row>
    <row r="39" customFormat="false" ht="18.75" hidden="false" customHeight="true" outlineLevel="0" collapsed="false">
      <c r="A39" s="17" t="n">
        <v>35</v>
      </c>
      <c r="B39" s="18" t="s">
        <v>156</v>
      </c>
      <c r="C39" s="23" t="s">
        <v>240</v>
      </c>
      <c r="D39" s="18" t="s">
        <v>549</v>
      </c>
      <c r="E39" s="9" t="s">
        <v>46</v>
      </c>
      <c r="F39" s="19" t="n">
        <v>30000</v>
      </c>
      <c r="G39" s="18" t="s">
        <v>90</v>
      </c>
      <c r="H39" s="9"/>
    </row>
    <row r="40" customFormat="false" ht="18.75" hidden="false" customHeight="true" outlineLevel="0" collapsed="false">
      <c r="A40" s="20" t="n">
        <v>36</v>
      </c>
      <c r="B40" s="21" t="s">
        <v>158</v>
      </c>
      <c r="C40" s="24" t="s">
        <v>240</v>
      </c>
      <c r="D40" s="21" t="s">
        <v>549</v>
      </c>
      <c r="E40" s="13" t="s">
        <v>233</v>
      </c>
      <c r="F40" s="22" t="n">
        <v>5000</v>
      </c>
      <c r="G40" s="21" t="s">
        <v>90</v>
      </c>
      <c r="H40" s="13"/>
    </row>
    <row r="41" customFormat="false" ht="18.75" hidden="false" customHeight="true" outlineLevel="0" collapsed="false">
      <c r="A41" s="17" t="n">
        <v>37</v>
      </c>
      <c r="B41" s="18" t="s">
        <v>162</v>
      </c>
      <c r="C41" s="23" t="s">
        <v>242</v>
      </c>
      <c r="D41" s="18" t="s">
        <v>549</v>
      </c>
      <c r="E41" s="9" t="s">
        <v>38</v>
      </c>
      <c r="F41" s="19" t="n">
        <v>80000</v>
      </c>
      <c r="G41" s="18" t="s">
        <v>147</v>
      </c>
      <c r="H41" s="9"/>
    </row>
    <row r="42" customFormat="false" ht="18.75" hidden="false" customHeight="true" outlineLevel="0" collapsed="false">
      <c r="A42" s="20" t="n">
        <v>38</v>
      </c>
      <c r="B42" s="21" t="s">
        <v>160</v>
      </c>
      <c r="C42" s="24" t="s">
        <v>578</v>
      </c>
      <c r="D42" s="21" t="s">
        <v>549</v>
      </c>
      <c r="E42" s="13" t="s">
        <v>38</v>
      </c>
      <c r="F42" s="22" t="n">
        <v>165000</v>
      </c>
      <c r="G42" s="21" t="s">
        <v>90</v>
      </c>
      <c r="H42" s="13"/>
    </row>
    <row r="43" customFormat="false" ht="18.75" hidden="false" customHeight="true" outlineLevel="0" collapsed="false">
      <c r="A43" s="17" t="n">
        <v>39</v>
      </c>
      <c r="B43" s="18" t="s">
        <v>164</v>
      </c>
      <c r="C43" s="23" t="s">
        <v>578</v>
      </c>
      <c r="D43" s="18" t="s">
        <v>549</v>
      </c>
      <c r="E43" s="9" t="s">
        <v>46</v>
      </c>
      <c r="F43" s="19" t="n">
        <v>15000</v>
      </c>
      <c r="G43" s="18" t="s">
        <v>90</v>
      </c>
      <c r="H43" s="9"/>
    </row>
    <row r="44" customFormat="false" ht="18.75" hidden="false" customHeight="true" outlineLevel="0" collapsed="false">
      <c r="A44" s="20" t="n">
        <v>40</v>
      </c>
      <c r="B44" s="21" t="s">
        <v>166</v>
      </c>
      <c r="C44" s="24" t="s">
        <v>578</v>
      </c>
      <c r="D44" s="21" t="s">
        <v>549</v>
      </c>
      <c r="E44" s="13" t="s">
        <v>46</v>
      </c>
      <c r="F44" s="22" t="n">
        <v>5000</v>
      </c>
      <c r="G44" s="21" t="s">
        <v>147</v>
      </c>
      <c r="H44" s="13"/>
    </row>
    <row r="45" customFormat="false" ht="18.75" hidden="false" customHeight="true" outlineLevel="0" collapsed="false">
      <c r="A45" s="17" t="n">
        <v>41</v>
      </c>
      <c r="B45" s="18" t="s">
        <v>168</v>
      </c>
      <c r="C45" s="23" t="s">
        <v>579</v>
      </c>
      <c r="D45" s="18" t="s">
        <v>549</v>
      </c>
      <c r="E45" s="9" t="s">
        <v>38</v>
      </c>
      <c r="F45" s="19" t="n">
        <v>40000</v>
      </c>
      <c r="G45" s="18" t="s">
        <v>147</v>
      </c>
      <c r="H45" s="9"/>
    </row>
    <row r="46" customFormat="false" ht="18.75" hidden="false" customHeight="true" outlineLevel="0" collapsed="false">
      <c r="A46" s="20" t="n">
        <v>42</v>
      </c>
      <c r="B46" s="21" t="s">
        <v>170</v>
      </c>
      <c r="C46" s="24" t="s">
        <v>244</v>
      </c>
      <c r="D46" s="21" t="s">
        <v>549</v>
      </c>
      <c r="E46" s="13" t="s">
        <v>38</v>
      </c>
      <c r="F46" s="22" t="n">
        <v>85000</v>
      </c>
      <c r="G46" s="21" t="s">
        <v>90</v>
      </c>
      <c r="H46" s="13"/>
    </row>
    <row r="47" customFormat="false" ht="18.75" hidden="false" customHeight="true" outlineLevel="0" collapsed="false">
      <c r="A47" s="17" t="n">
        <v>43</v>
      </c>
      <c r="B47" s="18" t="s">
        <v>171</v>
      </c>
      <c r="C47" s="23" t="s">
        <v>580</v>
      </c>
      <c r="D47" s="18" t="s">
        <v>549</v>
      </c>
      <c r="E47" s="9" t="s">
        <v>183</v>
      </c>
      <c r="F47" s="19" t="n">
        <v>10000</v>
      </c>
      <c r="G47" s="18" t="s">
        <v>90</v>
      </c>
      <c r="H47" s="9"/>
    </row>
    <row r="48" customFormat="false" ht="18.75" hidden="false" customHeight="true" outlineLevel="0" collapsed="false">
      <c r="A48" s="20" t="n">
        <v>44</v>
      </c>
      <c r="B48" s="21" t="s">
        <v>173</v>
      </c>
      <c r="C48" s="24" t="s">
        <v>580</v>
      </c>
      <c r="D48" s="21" t="s">
        <v>549</v>
      </c>
      <c r="E48" s="13" t="s">
        <v>46</v>
      </c>
      <c r="F48" s="22" t="n">
        <v>30000</v>
      </c>
      <c r="G48" s="21" t="s">
        <v>90</v>
      </c>
      <c r="H48" s="13"/>
    </row>
    <row r="49" customFormat="false" ht="18.75" hidden="false" customHeight="true" outlineLevel="0" collapsed="false">
      <c r="A49" s="17" t="n">
        <v>45</v>
      </c>
      <c r="B49" s="18" t="s">
        <v>175</v>
      </c>
      <c r="C49" s="23" t="s">
        <v>581</v>
      </c>
      <c r="D49" s="18" t="s">
        <v>549</v>
      </c>
      <c r="E49" s="9" t="s">
        <v>38</v>
      </c>
      <c r="F49" s="19" t="n">
        <v>45000</v>
      </c>
      <c r="G49" s="18" t="s">
        <v>90</v>
      </c>
      <c r="H49" s="9"/>
    </row>
    <row r="50" customFormat="false" ht="18.75" hidden="false" customHeight="true" outlineLevel="0" collapsed="false">
      <c r="A50" s="20" t="n">
        <v>46</v>
      </c>
      <c r="B50" s="21" t="s">
        <v>177</v>
      </c>
      <c r="C50" s="24" t="s">
        <v>582</v>
      </c>
      <c r="D50" s="21" t="s">
        <v>549</v>
      </c>
      <c r="E50" s="13" t="s">
        <v>46</v>
      </c>
      <c r="F50" s="22" t="n">
        <v>20000</v>
      </c>
      <c r="G50" s="21" t="s">
        <v>147</v>
      </c>
      <c r="H50" s="13"/>
    </row>
    <row r="51" customFormat="false" ht="18.75" hidden="false" customHeight="true" outlineLevel="0" collapsed="false">
      <c r="A51" s="17" t="n">
        <v>47</v>
      </c>
      <c r="B51" s="18" t="s">
        <v>179</v>
      </c>
      <c r="C51" s="23" t="s">
        <v>583</v>
      </c>
      <c r="D51" s="18" t="s">
        <v>549</v>
      </c>
      <c r="E51" s="9" t="s">
        <v>38</v>
      </c>
      <c r="F51" s="19" t="n">
        <v>40000</v>
      </c>
      <c r="G51" s="18" t="s">
        <v>147</v>
      </c>
      <c r="H51" s="9"/>
    </row>
    <row r="52" customFormat="false" ht="18.75" hidden="false" customHeight="true" outlineLevel="0" collapsed="false">
      <c r="A52" s="20" t="n">
        <v>48</v>
      </c>
      <c r="B52" s="21" t="s">
        <v>181</v>
      </c>
      <c r="C52" s="24" t="s">
        <v>584</v>
      </c>
      <c r="D52" s="21" t="s">
        <v>549</v>
      </c>
      <c r="E52" s="13" t="s">
        <v>38</v>
      </c>
      <c r="F52" s="22" t="n">
        <v>140000</v>
      </c>
      <c r="G52" s="21" t="s">
        <v>90</v>
      </c>
      <c r="H52" s="13"/>
    </row>
    <row r="53" customFormat="false" ht="18.75" hidden="false" customHeight="true" outlineLevel="0" collapsed="false">
      <c r="A53" s="17" t="n">
        <v>49</v>
      </c>
      <c r="B53" s="18" t="s">
        <v>184</v>
      </c>
      <c r="C53" s="23" t="s">
        <v>584</v>
      </c>
      <c r="D53" s="18" t="s">
        <v>549</v>
      </c>
      <c r="E53" s="9" t="s">
        <v>38</v>
      </c>
      <c r="F53" s="19" t="n">
        <v>40000</v>
      </c>
      <c r="G53" s="18" t="s">
        <v>147</v>
      </c>
      <c r="H53" s="9"/>
    </row>
    <row r="54" customFormat="false" ht="18.75" hidden="false" customHeight="true" outlineLevel="0" collapsed="false">
      <c r="A54" s="20" t="n">
        <v>50</v>
      </c>
      <c r="B54" s="21" t="s">
        <v>185</v>
      </c>
      <c r="C54" s="24" t="s">
        <v>584</v>
      </c>
      <c r="D54" s="21" t="s">
        <v>549</v>
      </c>
      <c r="E54" s="13" t="s">
        <v>38</v>
      </c>
      <c r="F54" s="22" t="n">
        <v>10000</v>
      </c>
      <c r="G54" s="21" t="s">
        <v>90</v>
      </c>
      <c r="H54" s="13" t="s">
        <v>585</v>
      </c>
    </row>
    <row r="55" customFormat="false" ht="18.75" hidden="false" customHeight="true" outlineLevel="0" collapsed="false">
      <c r="A55" s="17" t="n">
        <v>51</v>
      </c>
      <c r="B55" s="18" t="s">
        <v>187</v>
      </c>
      <c r="C55" s="23" t="s">
        <v>586</v>
      </c>
      <c r="D55" s="18" t="s">
        <v>549</v>
      </c>
      <c r="E55" s="9" t="s">
        <v>46</v>
      </c>
      <c r="F55" s="19" t="n">
        <v>20000</v>
      </c>
      <c r="G55" s="18" t="s">
        <v>90</v>
      </c>
      <c r="H55" s="9"/>
    </row>
    <row r="56" customFormat="false" ht="18.75" hidden="false" customHeight="true" outlineLevel="0" collapsed="false">
      <c r="A56" s="20" t="n">
        <v>52</v>
      </c>
      <c r="B56" s="21" t="s">
        <v>191</v>
      </c>
      <c r="C56" s="24" t="s">
        <v>587</v>
      </c>
      <c r="D56" s="21" t="s">
        <v>549</v>
      </c>
      <c r="E56" s="13" t="s">
        <v>38</v>
      </c>
      <c r="F56" s="22" t="n">
        <v>35000</v>
      </c>
      <c r="G56" s="21" t="s">
        <v>90</v>
      </c>
      <c r="H56" s="13"/>
    </row>
    <row r="57" customFormat="false" ht="18.75" hidden="false" customHeight="true" outlineLevel="0" collapsed="false">
      <c r="A57" s="17" t="n">
        <v>53</v>
      </c>
      <c r="B57" s="18" t="s">
        <v>189</v>
      </c>
      <c r="C57" s="23" t="s">
        <v>588</v>
      </c>
      <c r="D57" s="18" t="s">
        <v>549</v>
      </c>
      <c r="E57" s="9" t="s">
        <v>46</v>
      </c>
      <c r="F57" s="19" t="n">
        <v>10000</v>
      </c>
      <c r="G57" s="18" t="s">
        <v>90</v>
      </c>
      <c r="H57" s="9"/>
    </row>
    <row r="58" customFormat="false" ht="18.75" hidden="false" customHeight="true" outlineLevel="0" collapsed="false">
      <c r="A58" s="20" t="n">
        <v>54</v>
      </c>
      <c r="B58" s="21" t="s">
        <v>193</v>
      </c>
      <c r="C58" s="24" t="s">
        <v>589</v>
      </c>
      <c r="D58" s="21" t="s">
        <v>549</v>
      </c>
      <c r="E58" s="13" t="s">
        <v>38</v>
      </c>
      <c r="F58" s="22" t="n">
        <v>26000</v>
      </c>
      <c r="G58" s="21" t="s">
        <v>90</v>
      </c>
      <c r="H58" s="13" t="s">
        <v>590</v>
      </c>
    </row>
    <row r="59" customFormat="false" ht="18.75" hidden="false" customHeight="true" outlineLevel="0" collapsed="false">
      <c r="A59" s="17" t="n">
        <v>55</v>
      </c>
      <c r="B59" s="18" t="s">
        <v>195</v>
      </c>
      <c r="C59" s="23" t="s">
        <v>589</v>
      </c>
      <c r="D59" s="18" t="s">
        <v>549</v>
      </c>
      <c r="E59" s="9" t="s">
        <v>46</v>
      </c>
      <c r="F59" s="19" t="n">
        <v>10000</v>
      </c>
      <c r="G59" s="18" t="s">
        <v>90</v>
      </c>
      <c r="H59" s="9"/>
    </row>
    <row r="60" customFormat="false" ht="18.75" hidden="false" customHeight="true" outlineLevel="0" collapsed="false">
      <c r="A60" s="20" t="n">
        <v>56</v>
      </c>
      <c r="B60" s="21" t="s">
        <v>199</v>
      </c>
      <c r="C60" s="24" t="s">
        <v>589</v>
      </c>
      <c r="D60" s="21" t="s">
        <v>549</v>
      </c>
      <c r="E60" s="13" t="s">
        <v>38</v>
      </c>
      <c r="F60" s="22" t="n">
        <v>111300</v>
      </c>
      <c r="G60" s="21" t="s">
        <v>90</v>
      </c>
      <c r="H60" s="13"/>
    </row>
    <row r="61" customFormat="false" ht="18.75" hidden="false" customHeight="true" outlineLevel="0" collapsed="false">
      <c r="A61" s="17" t="n">
        <v>57</v>
      </c>
      <c r="B61" s="18" t="s">
        <v>197</v>
      </c>
      <c r="C61" s="23" t="s">
        <v>591</v>
      </c>
      <c r="D61" s="18" t="s">
        <v>549</v>
      </c>
      <c r="E61" s="9" t="s">
        <v>38</v>
      </c>
      <c r="F61" s="19" t="n">
        <v>20000</v>
      </c>
      <c r="G61" s="18" t="s">
        <v>90</v>
      </c>
      <c r="H61" s="9"/>
    </row>
    <row r="62" customFormat="false" ht="18.75" hidden="false" customHeight="true" outlineLevel="0" collapsed="false">
      <c r="A62" s="20" t="n">
        <v>58</v>
      </c>
      <c r="B62" s="21" t="s">
        <v>201</v>
      </c>
      <c r="C62" s="24" t="s">
        <v>255</v>
      </c>
      <c r="D62" s="21" t="s">
        <v>549</v>
      </c>
      <c r="E62" s="13" t="s">
        <v>38</v>
      </c>
      <c r="F62" s="22" t="n">
        <v>10000</v>
      </c>
      <c r="G62" s="21" t="s">
        <v>147</v>
      </c>
      <c r="H62" s="13"/>
    </row>
    <row r="63" customFormat="false" ht="18.75" hidden="false" customHeight="true" outlineLevel="0" collapsed="false">
      <c r="A63" s="17" t="n">
        <v>59</v>
      </c>
      <c r="B63" s="18" t="s">
        <v>202</v>
      </c>
      <c r="C63" s="23" t="s">
        <v>255</v>
      </c>
      <c r="D63" s="18" t="s">
        <v>549</v>
      </c>
      <c r="E63" s="9" t="s">
        <v>38</v>
      </c>
      <c r="F63" s="19" t="n">
        <v>20000</v>
      </c>
      <c r="G63" s="18" t="s">
        <v>90</v>
      </c>
      <c r="H63" s="9"/>
    </row>
    <row r="64" customFormat="false" ht="18.75" hidden="false" customHeight="true" outlineLevel="0" collapsed="false">
      <c r="A64" s="20" t="n">
        <v>60</v>
      </c>
      <c r="B64" s="21" t="s">
        <v>205</v>
      </c>
      <c r="C64" s="24" t="s">
        <v>257</v>
      </c>
      <c r="D64" s="21" t="s">
        <v>549</v>
      </c>
      <c r="E64" s="13" t="s">
        <v>46</v>
      </c>
      <c r="F64" s="22" t="n">
        <v>10000</v>
      </c>
      <c r="G64" s="21" t="s">
        <v>147</v>
      </c>
      <c r="H64" s="13"/>
    </row>
    <row r="65" customFormat="false" ht="18.75" hidden="false" customHeight="true" outlineLevel="0" collapsed="false">
      <c r="A65" s="17" t="n">
        <v>61</v>
      </c>
      <c r="B65" s="18" t="s">
        <v>204</v>
      </c>
      <c r="C65" s="23" t="s">
        <v>592</v>
      </c>
      <c r="D65" s="18" t="s">
        <v>549</v>
      </c>
      <c r="E65" s="9" t="s">
        <v>38</v>
      </c>
      <c r="F65" s="19" t="n">
        <v>20000</v>
      </c>
      <c r="G65" s="18" t="s">
        <v>90</v>
      </c>
      <c r="H65" s="9" t="s">
        <v>593</v>
      </c>
    </row>
    <row r="66" customFormat="false" ht="18.75" hidden="false" customHeight="true" outlineLevel="0" collapsed="false">
      <c r="A66" s="20" t="n">
        <v>62</v>
      </c>
      <c r="B66" s="21" t="s">
        <v>210</v>
      </c>
      <c r="C66" s="24" t="s">
        <v>260</v>
      </c>
      <c r="D66" s="21" t="s">
        <v>549</v>
      </c>
      <c r="E66" s="13" t="s">
        <v>46</v>
      </c>
      <c r="F66" s="22" t="n">
        <v>5000</v>
      </c>
      <c r="G66" s="21" t="s">
        <v>90</v>
      </c>
      <c r="H66" s="13"/>
    </row>
    <row r="67" customFormat="false" ht="18.75" hidden="false" customHeight="true" outlineLevel="0" collapsed="false">
      <c r="A67" s="17" t="n">
        <v>63</v>
      </c>
      <c r="B67" s="18" t="s">
        <v>212</v>
      </c>
      <c r="C67" s="23" t="s">
        <v>594</v>
      </c>
      <c r="D67" s="18" t="s">
        <v>549</v>
      </c>
      <c r="E67" s="9" t="s">
        <v>38</v>
      </c>
      <c r="F67" s="19" t="n">
        <v>49000</v>
      </c>
      <c r="G67" s="18" t="s">
        <v>90</v>
      </c>
      <c r="H67" s="9"/>
    </row>
    <row r="68" customFormat="false" ht="18.75" hidden="false" customHeight="true" outlineLevel="0" collapsed="false">
      <c r="A68" s="20" t="n">
        <v>64</v>
      </c>
      <c r="B68" s="21" t="s">
        <v>214</v>
      </c>
      <c r="C68" s="24" t="s">
        <v>595</v>
      </c>
      <c r="D68" s="21" t="s">
        <v>549</v>
      </c>
      <c r="E68" s="13" t="s">
        <v>46</v>
      </c>
      <c r="F68" s="22" t="n">
        <v>8000</v>
      </c>
      <c r="G68" s="21" t="s">
        <v>90</v>
      </c>
      <c r="H68" s="13"/>
    </row>
    <row r="69" customFormat="false" ht="18.75" hidden="false" customHeight="true" outlineLevel="0" collapsed="false">
      <c r="A69" s="17" t="n">
        <v>65</v>
      </c>
      <c r="B69" s="18" t="s">
        <v>216</v>
      </c>
      <c r="C69" s="23" t="s">
        <v>264</v>
      </c>
      <c r="D69" s="18" t="s">
        <v>549</v>
      </c>
      <c r="E69" s="9" t="s">
        <v>38</v>
      </c>
      <c r="F69" s="19" t="n">
        <v>2000</v>
      </c>
      <c r="G69" s="18" t="s">
        <v>90</v>
      </c>
      <c r="H69" s="9" t="s">
        <v>596</v>
      </c>
    </row>
    <row r="70" customFormat="false" ht="18.75" hidden="false" customHeight="true" outlineLevel="0" collapsed="false">
      <c r="A70" s="20" t="n">
        <v>66</v>
      </c>
      <c r="B70" s="21" t="s">
        <v>218</v>
      </c>
      <c r="C70" s="24" t="s">
        <v>597</v>
      </c>
      <c r="D70" s="21" t="s">
        <v>549</v>
      </c>
      <c r="E70" s="13" t="s">
        <v>38</v>
      </c>
      <c r="F70" s="22" t="n">
        <v>44000</v>
      </c>
      <c r="G70" s="21" t="s">
        <v>90</v>
      </c>
      <c r="H70" s="13"/>
    </row>
    <row r="71" customFormat="false" ht="18.75" hidden="false" customHeight="true" outlineLevel="0" collapsed="false">
      <c r="A71" s="17" t="n">
        <v>67</v>
      </c>
      <c r="B71" s="18" t="s">
        <v>220</v>
      </c>
      <c r="C71" s="23" t="s">
        <v>598</v>
      </c>
      <c r="D71" s="18" t="s">
        <v>549</v>
      </c>
      <c r="E71" s="9" t="s">
        <v>46</v>
      </c>
      <c r="F71" s="19" t="n">
        <v>10000</v>
      </c>
      <c r="G71" s="18" t="s">
        <v>90</v>
      </c>
      <c r="H71" s="9"/>
    </row>
    <row r="72" customFormat="false" ht="18.75" hidden="false" customHeight="true" outlineLevel="0" collapsed="false">
      <c r="A72" s="20" t="n">
        <v>68</v>
      </c>
      <c r="B72" s="21" t="s">
        <v>222</v>
      </c>
      <c r="C72" s="24" t="s">
        <v>271</v>
      </c>
      <c r="D72" s="21" t="s">
        <v>549</v>
      </c>
      <c r="E72" s="13" t="s">
        <v>38</v>
      </c>
      <c r="F72" s="22" t="n">
        <v>38000</v>
      </c>
      <c r="G72" s="21" t="s">
        <v>90</v>
      </c>
      <c r="H72" s="13"/>
    </row>
    <row r="73" customFormat="false" ht="18.75" hidden="false" customHeight="true" outlineLevel="0" collapsed="false">
      <c r="A73" s="17" t="n">
        <v>69</v>
      </c>
      <c r="B73" s="18" t="s">
        <v>223</v>
      </c>
      <c r="C73" s="23" t="s">
        <v>274</v>
      </c>
      <c r="D73" s="18" t="s">
        <v>549</v>
      </c>
      <c r="E73" s="9" t="s">
        <v>38</v>
      </c>
      <c r="F73" s="19" t="n">
        <v>40000</v>
      </c>
      <c r="G73" s="18" t="s">
        <v>90</v>
      </c>
      <c r="H73" s="9" t="s">
        <v>599</v>
      </c>
    </row>
    <row r="74" customFormat="false" ht="18.75" hidden="false" customHeight="true" outlineLevel="0" collapsed="false">
      <c r="A74" s="20" t="n">
        <v>70</v>
      </c>
      <c r="B74" s="21" t="s">
        <v>225</v>
      </c>
      <c r="C74" s="24" t="s">
        <v>274</v>
      </c>
      <c r="D74" s="21" t="s">
        <v>549</v>
      </c>
      <c r="E74" s="13" t="s">
        <v>42</v>
      </c>
      <c r="F74" s="22" t="n">
        <v>30000</v>
      </c>
      <c r="G74" s="21" t="s">
        <v>147</v>
      </c>
      <c r="H74" s="13"/>
    </row>
    <row r="75" customFormat="false" ht="18.75" hidden="false" customHeight="true" outlineLevel="0" collapsed="false">
      <c r="A75" s="17" t="n">
        <v>71</v>
      </c>
      <c r="B75" s="18" t="s">
        <v>226</v>
      </c>
      <c r="C75" s="23" t="s">
        <v>600</v>
      </c>
      <c r="D75" s="18" t="s">
        <v>549</v>
      </c>
      <c r="E75" s="9" t="s">
        <v>38</v>
      </c>
      <c r="F75" s="19" t="n">
        <v>40000</v>
      </c>
      <c r="G75" s="18" t="s">
        <v>147</v>
      </c>
      <c r="H75" s="9"/>
    </row>
    <row r="76" customFormat="false" ht="18.75" hidden="false" customHeight="true" outlineLevel="0" collapsed="false">
      <c r="A76" s="20" t="n">
        <v>72</v>
      </c>
      <c r="B76" s="21" t="s">
        <v>227</v>
      </c>
      <c r="C76" s="24" t="s">
        <v>600</v>
      </c>
      <c r="D76" s="21" t="s">
        <v>549</v>
      </c>
      <c r="E76" s="13" t="s">
        <v>38</v>
      </c>
      <c r="F76" s="22" t="n">
        <v>35000</v>
      </c>
      <c r="G76" s="21" t="s">
        <v>147</v>
      </c>
      <c r="H76" s="13" t="s">
        <v>601</v>
      </c>
    </row>
    <row r="77" customFormat="false" ht="18.75" hidden="false" customHeight="true" outlineLevel="0" collapsed="false">
      <c r="A77" s="17" t="n">
        <v>73</v>
      </c>
      <c r="B77" s="18" t="s">
        <v>231</v>
      </c>
      <c r="C77" s="23" t="s">
        <v>602</v>
      </c>
      <c r="D77" s="18" t="s">
        <v>549</v>
      </c>
      <c r="E77" s="9" t="s">
        <v>38</v>
      </c>
      <c r="F77" s="19" t="n">
        <v>9760</v>
      </c>
      <c r="G77" s="18" t="s">
        <v>147</v>
      </c>
      <c r="H77" s="9" t="s">
        <v>603</v>
      </c>
    </row>
    <row r="78" customFormat="false" ht="18.75" hidden="false" customHeight="true" outlineLevel="0" collapsed="false">
      <c r="A78" s="20" t="n">
        <v>74</v>
      </c>
      <c r="B78" s="21" t="s">
        <v>235</v>
      </c>
      <c r="C78" s="24" t="s">
        <v>277</v>
      </c>
      <c r="D78" s="21" t="s">
        <v>549</v>
      </c>
      <c r="E78" s="13" t="s">
        <v>38</v>
      </c>
      <c r="F78" s="22" t="n">
        <v>130000</v>
      </c>
      <c r="G78" s="21" t="s">
        <v>147</v>
      </c>
      <c r="H78" s="13"/>
    </row>
    <row r="79" customFormat="false" ht="18.75" hidden="false" customHeight="true" outlineLevel="0" collapsed="false">
      <c r="A79" s="17" t="n">
        <v>75</v>
      </c>
      <c r="B79" s="18" t="s">
        <v>234</v>
      </c>
      <c r="C79" s="23" t="s">
        <v>277</v>
      </c>
      <c r="D79" s="18" t="s">
        <v>549</v>
      </c>
      <c r="E79" s="9" t="s">
        <v>46</v>
      </c>
      <c r="F79" s="19" t="n">
        <v>20000</v>
      </c>
      <c r="G79" s="18" t="s">
        <v>90</v>
      </c>
      <c r="H79" s="9"/>
    </row>
    <row r="80" customFormat="false" ht="18.75" hidden="false" customHeight="true" outlineLevel="0" collapsed="false">
      <c r="A80" s="20" t="n">
        <v>76</v>
      </c>
      <c r="B80" s="21" t="s">
        <v>237</v>
      </c>
      <c r="C80" s="24" t="s">
        <v>604</v>
      </c>
      <c r="D80" s="21" t="s">
        <v>549</v>
      </c>
      <c r="E80" s="13" t="s">
        <v>38</v>
      </c>
      <c r="F80" s="22" t="n">
        <v>65000</v>
      </c>
      <c r="G80" s="21" t="s">
        <v>147</v>
      </c>
      <c r="H80" s="13"/>
    </row>
    <row r="81" customFormat="false" ht="18.75" hidden="false" customHeight="true" outlineLevel="0" collapsed="false">
      <c r="A81" s="17" t="n">
        <v>77</v>
      </c>
      <c r="B81" s="18" t="s">
        <v>239</v>
      </c>
      <c r="C81" s="23" t="s">
        <v>605</v>
      </c>
      <c r="D81" s="18" t="s">
        <v>549</v>
      </c>
      <c r="E81" s="9" t="s">
        <v>46</v>
      </c>
      <c r="F81" s="19" t="n">
        <v>10000</v>
      </c>
      <c r="G81" s="18" t="s">
        <v>147</v>
      </c>
      <c r="H81" s="9"/>
    </row>
    <row r="82" customFormat="false" ht="18.75" hidden="false" customHeight="true" outlineLevel="0" collapsed="false">
      <c r="A82" s="20" t="n">
        <v>78</v>
      </c>
      <c r="B82" s="21" t="s">
        <v>241</v>
      </c>
      <c r="C82" s="24" t="s">
        <v>606</v>
      </c>
      <c r="D82" s="21" t="s">
        <v>549</v>
      </c>
      <c r="E82" s="13" t="s">
        <v>42</v>
      </c>
      <c r="F82" s="22" t="n">
        <v>14500</v>
      </c>
      <c r="G82" s="21" t="s">
        <v>147</v>
      </c>
      <c r="H82" s="13"/>
    </row>
    <row r="83" customFormat="false" ht="18.75" hidden="false" customHeight="true" outlineLevel="0" collapsed="false">
      <c r="A83" s="17" t="n">
        <v>79</v>
      </c>
      <c r="B83" s="18" t="s">
        <v>243</v>
      </c>
      <c r="C83" s="23" t="s">
        <v>607</v>
      </c>
      <c r="D83" s="18" t="s">
        <v>549</v>
      </c>
      <c r="E83" s="9" t="s">
        <v>38</v>
      </c>
      <c r="F83" s="19" t="n">
        <v>45000</v>
      </c>
      <c r="G83" s="18" t="s">
        <v>147</v>
      </c>
      <c r="H83" s="9" t="s">
        <v>608</v>
      </c>
    </row>
    <row r="84" customFormat="false" ht="18.75" hidden="false" customHeight="true" outlineLevel="0" collapsed="false">
      <c r="A84" s="20" t="n">
        <v>80</v>
      </c>
      <c r="B84" s="21" t="s">
        <v>245</v>
      </c>
      <c r="C84" s="24" t="s">
        <v>609</v>
      </c>
      <c r="D84" s="21" t="s">
        <v>549</v>
      </c>
      <c r="E84" s="13" t="s">
        <v>46</v>
      </c>
      <c r="F84" s="22" t="n">
        <v>10000</v>
      </c>
      <c r="G84" s="21" t="s">
        <v>147</v>
      </c>
      <c r="H84" s="13"/>
    </row>
    <row r="85" customFormat="false" ht="18.75" hidden="false" customHeight="true" outlineLevel="0" collapsed="false">
      <c r="A85" s="17" t="n">
        <v>81</v>
      </c>
      <c r="B85" s="18" t="s">
        <v>229</v>
      </c>
      <c r="C85" s="23" t="s">
        <v>610</v>
      </c>
      <c r="D85" s="18" t="s">
        <v>549</v>
      </c>
      <c r="E85" s="9" t="s">
        <v>46</v>
      </c>
      <c r="F85" s="19" t="n">
        <v>5000</v>
      </c>
      <c r="G85" s="18" t="s">
        <v>147</v>
      </c>
      <c r="H85" s="9"/>
    </row>
    <row r="86" customFormat="false" ht="18.75" hidden="false" customHeight="true" outlineLevel="0" collapsed="false">
      <c r="A86" s="20" t="n">
        <v>82</v>
      </c>
      <c r="B86" s="21" t="s">
        <v>246</v>
      </c>
      <c r="C86" s="24" t="s">
        <v>611</v>
      </c>
      <c r="D86" s="21" t="s">
        <v>549</v>
      </c>
      <c r="E86" s="13" t="s">
        <v>46</v>
      </c>
      <c r="F86" s="22" t="n">
        <v>10000</v>
      </c>
      <c r="G86" s="21" t="s">
        <v>147</v>
      </c>
      <c r="H86" s="13"/>
    </row>
    <row r="87" customFormat="false" ht="18.75" hidden="false" customHeight="true" outlineLevel="0" collapsed="false">
      <c r="A87" s="17" t="n">
        <v>83</v>
      </c>
      <c r="B87" s="18" t="s">
        <v>254</v>
      </c>
      <c r="C87" s="23" t="s">
        <v>612</v>
      </c>
      <c r="D87" s="18" t="s">
        <v>549</v>
      </c>
      <c r="E87" s="9" t="s">
        <v>38</v>
      </c>
      <c r="F87" s="19" t="n">
        <v>5000</v>
      </c>
      <c r="G87" s="18" t="s">
        <v>147</v>
      </c>
      <c r="H87" s="9"/>
    </row>
    <row r="88" customFormat="false" ht="18.75" hidden="false" customHeight="true" outlineLevel="0" collapsed="false">
      <c r="A88" s="20" t="n">
        <v>84</v>
      </c>
      <c r="B88" s="21" t="s">
        <v>256</v>
      </c>
      <c r="C88" s="24" t="s">
        <v>613</v>
      </c>
      <c r="D88" s="21" t="s">
        <v>549</v>
      </c>
      <c r="E88" s="13" t="s">
        <v>38</v>
      </c>
      <c r="F88" s="22" t="n">
        <v>10000</v>
      </c>
      <c r="G88" s="21" t="s">
        <v>147</v>
      </c>
      <c r="H88" s="13"/>
    </row>
    <row r="89" customFormat="false" ht="18.75" hidden="false" customHeight="true" outlineLevel="0" collapsed="false">
      <c r="A89" s="17" t="n">
        <v>85</v>
      </c>
      <c r="B89" s="18" t="s">
        <v>250</v>
      </c>
      <c r="C89" s="23" t="s">
        <v>285</v>
      </c>
      <c r="D89" s="18" t="s">
        <v>549</v>
      </c>
      <c r="E89" s="9" t="s">
        <v>38</v>
      </c>
      <c r="F89" s="19" t="n">
        <v>13000</v>
      </c>
      <c r="G89" s="18" t="s">
        <v>90</v>
      </c>
      <c r="H89" s="9"/>
    </row>
    <row r="90" customFormat="false" ht="18.75" hidden="false" customHeight="true" outlineLevel="0" collapsed="false">
      <c r="A90" s="20" t="n">
        <v>86</v>
      </c>
      <c r="B90" s="21" t="s">
        <v>258</v>
      </c>
      <c r="C90" s="24" t="s">
        <v>614</v>
      </c>
      <c r="D90" s="21" t="s">
        <v>549</v>
      </c>
      <c r="E90" s="13" t="s">
        <v>38</v>
      </c>
      <c r="F90" s="22" t="n">
        <v>12000</v>
      </c>
      <c r="G90" s="21" t="s">
        <v>90</v>
      </c>
      <c r="H90" s="13"/>
    </row>
    <row r="91" customFormat="false" ht="18.75" hidden="false" customHeight="true" outlineLevel="0" collapsed="false">
      <c r="A91" s="17" t="n">
        <v>87</v>
      </c>
      <c r="B91" s="18" t="s">
        <v>259</v>
      </c>
      <c r="C91" s="23" t="s">
        <v>615</v>
      </c>
      <c r="D91" s="18" t="s">
        <v>549</v>
      </c>
      <c r="E91" s="9" t="s">
        <v>46</v>
      </c>
      <c r="F91" s="19" t="n">
        <v>10000</v>
      </c>
      <c r="G91" s="18" t="s">
        <v>90</v>
      </c>
      <c r="H91" s="9"/>
    </row>
    <row r="92" customFormat="false" ht="18.75" hidden="false" customHeight="true" outlineLevel="0" collapsed="false">
      <c r="A92" s="20" t="n">
        <v>88</v>
      </c>
      <c r="B92" s="21" t="s">
        <v>263</v>
      </c>
      <c r="C92" s="24" t="s">
        <v>293</v>
      </c>
      <c r="D92" s="21" t="s">
        <v>549</v>
      </c>
      <c r="E92" s="13" t="s">
        <v>42</v>
      </c>
      <c r="F92" s="22" t="n">
        <v>25000</v>
      </c>
      <c r="G92" s="21" t="s">
        <v>147</v>
      </c>
      <c r="H92" s="13"/>
    </row>
    <row r="93" customFormat="false" ht="18.75" hidden="false" customHeight="true" outlineLevel="0" collapsed="false">
      <c r="A93" s="17" t="n">
        <v>89</v>
      </c>
      <c r="B93" s="18" t="s">
        <v>265</v>
      </c>
      <c r="C93" s="23" t="s">
        <v>616</v>
      </c>
      <c r="D93" s="18" t="s">
        <v>549</v>
      </c>
      <c r="E93" s="9" t="s">
        <v>38</v>
      </c>
      <c r="F93" s="19" t="n">
        <v>36000</v>
      </c>
      <c r="G93" s="18" t="s">
        <v>147</v>
      </c>
      <c r="H93" s="9"/>
    </row>
    <row r="94" customFormat="false" ht="18.75" hidden="false" customHeight="true" outlineLevel="0" collapsed="false">
      <c r="A94" s="20" t="n">
        <v>90</v>
      </c>
      <c r="B94" s="21" t="s">
        <v>267</v>
      </c>
      <c r="C94" s="24" t="s">
        <v>296</v>
      </c>
      <c r="D94" s="21" t="s">
        <v>549</v>
      </c>
      <c r="E94" s="13" t="s">
        <v>42</v>
      </c>
      <c r="F94" s="22" t="n">
        <v>32000</v>
      </c>
      <c r="G94" s="21" t="s">
        <v>147</v>
      </c>
      <c r="H94" s="13"/>
    </row>
    <row r="95" customFormat="false" ht="18.75" hidden="false" customHeight="true" outlineLevel="0" collapsed="false">
      <c r="A95" s="17" t="n">
        <v>91</v>
      </c>
      <c r="B95" s="18" t="s">
        <v>268</v>
      </c>
      <c r="C95" s="23" t="s">
        <v>617</v>
      </c>
      <c r="D95" s="18" t="s">
        <v>549</v>
      </c>
      <c r="E95" s="9" t="s">
        <v>38</v>
      </c>
      <c r="F95" s="19" t="n">
        <v>43000</v>
      </c>
      <c r="G95" s="18" t="s">
        <v>90</v>
      </c>
      <c r="H95" s="9"/>
    </row>
    <row r="96" customFormat="false" ht="18.75" hidden="false" customHeight="true" outlineLevel="0" collapsed="false">
      <c r="A96" s="20" t="n">
        <v>92</v>
      </c>
      <c r="B96" s="21" t="s">
        <v>270</v>
      </c>
      <c r="C96" s="24" t="s">
        <v>617</v>
      </c>
      <c r="D96" s="21" t="s">
        <v>549</v>
      </c>
      <c r="E96" s="13" t="s">
        <v>46</v>
      </c>
      <c r="F96" s="22" t="n">
        <v>10000</v>
      </c>
      <c r="G96" s="21" t="s">
        <v>147</v>
      </c>
      <c r="H96" s="13"/>
    </row>
    <row r="97" customFormat="false" ht="18.75" hidden="false" customHeight="true" outlineLevel="0" collapsed="false">
      <c r="A97" s="17" t="n">
        <v>93</v>
      </c>
      <c r="B97" s="18" t="s">
        <v>272</v>
      </c>
      <c r="C97" s="23" t="s">
        <v>618</v>
      </c>
      <c r="D97" s="18" t="s">
        <v>549</v>
      </c>
      <c r="E97" s="9" t="s">
        <v>38</v>
      </c>
      <c r="F97" s="19" t="n">
        <v>70000</v>
      </c>
      <c r="G97" s="18" t="s">
        <v>147</v>
      </c>
      <c r="H97" s="9" t="s">
        <v>619</v>
      </c>
    </row>
    <row r="98" customFormat="false" ht="18.75" hidden="false" customHeight="true" outlineLevel="0" collapsed="false">
      <c r="A98" s="20" t="n">
        <v>94</v>
      </c>
      <c r="B98" s="21" t="s">
        <v>273</v>
      </c>
      <c r="C98" s="24" t="s">
        <v>620</v>
      </c>
      <c r="D98" s="21" t="s">
        <v>549</v>
      </c>
      <c r="E98" s="13" t="s">
        <v>38</v>
      </c>
      <c r="F98" s="22" t="n">
        <v>70000</v>
      </c>
      <c r="G98" s="21" t="s">
        <v>90</v>
      </c>
      <c r="H98" s="13"/>
    </row>
    <row r="99" customFormat="false" ht="18.75" hidden="false" customHeight="true" outlineLevel="0" collapsed="false">
      <c r="A99" s="17" t="n">
        <v>95</v>
      </c>
      <c r="B99" s="18" t="s">
        <v>275</v>
      </c>
      <c r="C99" s="23" t="s">
        <v>621</v>
      </c>
      <c r="D99" s="18" t="s">
        <v>549</v>
      </c>
      <c r="E99" s="9" t="s">
        <v>38</v>
      </c>
      <c r="F99" s="19" t="n">
        <v>35000</v>
      </c>
      <c r="G99" s="18" t="s">
        <v>90</v>
      </c>
      <c r="H99" s="9" t="s">
        <v>622</v>
      </c>
    </row>
    <row r="100" customFormat="false" ht="18.75" hidden="false" customHeight="true" outlineLevel="0" collapsed="false">
      <c r="A100" s="20" t="n">
        <v>96</v>
      </c>
      <c r="B100" s="21" t="s">
        <v>276</v>
      </c>
      <c r="C100" s="24" t="s">
        <v>623</v>
      </c>
      <c r="D100" s="21" t="s">
        <v>549</v>
      </c>
      <c r="E100" s="13" t="s">
        <v>42</v>
      </c>
      <c r="F100" s="22" t="n">
        <v>30000</v>
      </c>
      <c r="G100" s="21" t="s">
        <v>147</v>
      </c>
      <c r="H100" s="13"/>
    </row>
    <row r="101" customFormat="false" ht="18.75" hidden="false" customHeight="true" outlineLevel="0" collapsed="false">
      <c r="A101" s="17" t="n">
        <v>97</v>
      </c>
      <c r="B101" s="18" t="s">
        <v>278</v>
      </c>
      <c r="C101" s="23" t="s">
        <v>623</v>
      </c>
      <c r="D101" s="18" t="s">
        <v>549</v>
      </c>
      <c r="E101" s="9" t="s">
        <v>46</v>
      </c>
      <c r="F101" s="19" t="n">
        <v>10000</v>
      </c>
      <c r="G101" s="18" t="s">
        <v>90</v>
      </c>
      <c r="H101" s="9"/>
    </row>
    <row r="102" customFormat="false" ht="18.75" hidden="false" customHeight="true" outlineLevel="0" collapsed="false">
      <c r="A102" s="20" t="n">
        <v>98</v>
      </c>
      <c r="B102" s="21" t="s">
        <v>279</v>
      </c>
      <c r="C102" s="24" t="s">
        <v>623</v>
      </c>
      <c r="D102" s="21" t="s">
        <v>549</v>
      </c>
      <c r="E102" s="13" t="s">
        <v>38</v>
      </c>
      <c r="F102" s="22" t="n">
        <v>25000</v>
      </c>
      <c r="G102" s="21" t="s">
        <v>147</v>
      </c>
      <c r="H102" s="13" t="s">
        <v>624</v>
      </c>
    </row>
    <row r="103" customFormat="false" ht="18.75" hidden="false" customHeight="true" outlineLevel="0" collapsed="false">
      <c r="A103" s="17" t="n">
        <v>99</v>
      </c>
      <c r="B103" s="18" t="s">
        <v>207</v>
      </c>
      <c r="C103" s="23" t="s">
        <v>303</v>
      </c>
      <c r="D103" s="18" t="s">
        <v>549</v>
      </c>
      <c r="E103" s="9" t="s">
        <v>38</v>
      </c>
      <c r="F103" s="19" t="n">
        <v>10000</v>
      </c>
      <c r="G103" s="18" t="s">
        <v>147</v>
      </c>
      <c r="H103" s="9" t="s">
        <v>625</v>
      </c>
    </row>
    <row r="104" customFormat="false" ht="18.75" hidden="false" customHeight="true" outlineLevel="0" collapsed="false">
      <c r="A104" s="20" t="n">
        <v>100</v>
      </c>
      <c r="B104" s="21" t="s">
        <v>282</v>
      </c>
      <c r="C104" s="24" t="s">
        <v>626</v>
      </c>
      <c r="D104" s="21" t="s">
        <v>549</v>
      </c>
      <c r="E104" s="13" t="s">
        <v>38</v>
      </c>
      <c r="F104" s="22" t="n">
        <v>27000</v>
      </c>
      <c r="G104" s="21" t="s">
        <v>90</v>
      </c>
      <c r="H104" s="13" t="s">
        <v>627</v>
      </c>
    </row>
    <row r="105" customFormat="false" ht="18.75" hidden="false" customHeight="true" outlineLevel="0" collapsed="false">
      <c r="A105" s="17" t="n">
        <v>101</v>
      </c>
      <c r="B105" s="18" t="s">
        <v>261</v>
      </c>
      <c r="C105" s="23" t="s">
        <v>628</v>
      </c>
      <c r="D105" s="18" t="s">
        <v>549</v>
      </c>
      <c r="E105" s="9" t="s">
        <v>38</v>
      </c>
      <c r="F105" s="19" t="n">
        <v>40000</v>
      </c>
      <c r="G105" s="18" t="s">
        <v>90</v>
      </c>
      <c r="H105" s="9"/>
    </row>
    <row r="106" customFormat="false" ht="18.75" hidden="false" customHeight="true" outlineLevel="0" collapsed="false">
      <c r="A106" s="20" t="n">
        <v>102</v>
      </c>
      <c r="B106" s="21" t="s">
        <v>252</v>
      </c>
      <c r="C106" s="24" t="s">
        <v>310</v>
      </c>
      <c r="D106" s="21" t="s">
        <v>549</v>
      </c>
      <c r="E106" s="13" t="s">
        <v>46</v>
      </c>
      <c r="F106" s="22" t="n">
        <v>20000</v>
      </c>
      <c r="G106" s="21" t="s">
        <v>90</v>
      </c>
      <c r="H106" s="13"/>
    </row>
    <row r="107" customFormat="false" ht="18.75" hidden="false" customHeight="true" outlineLevel="0" collapsed="false">
      <c r="A107" s="17" t="n">
        <v>103</v>
      </c>
      <c r="B107" s="18" t="s">
        <v>284</v>
      </c>
      <c r="C107" s="23" t="s">
        <v>310</v>
      </c>
      <c r="D107" s="18" t="s">
        <v>549</v>
      </c>
      <c r="E107" s="9" t="s">
        <v>42</v>
      </c>
      <c r="F107" s="19" t="n">
        <v>52000</v>
      </c>
      <c r="G107" s="18" t="s">
        <v>147</v>
      </c>
      <c r="H107" s="9"/>
    </row>
    <row r="108" customFormat="false" ht="18.75" hidden="false" customHeight="true" outlineLevel="0" collapsed="false">
      <c r="A108" s="20" t="n">
        <v>104</v>
      </c>
      <c r="B108" s="21" t="s">
        <v>286</v>
      </c>
      <c r="C108" s="24" t="s">
        <v>313</v>
      </c>
      <c r="D108" s="21" t="s">
        <v>549</v>
      </c>
      <c r="E108" s="13" t="s">
        <v>38</v>
      </c>
      <c r="F108" s="22" t="n">
        <v>120000</v>
      </c>
      <c r="G108" s="21" t="s">
        <v>147</v>
      </c>
      <c r="H108" s="13" t="s">
        <v>629</v>
      </c>
    </row>
    <row r="109" customFormat="false" ht="18.75" hidden="false" customHeight="true" outlineLevel="0" collapsed="false">
      <c r="A109" s="17" t="n">
        <v>105</v>
      </c>
      <c r="B109" s="18" t="s">
        <v>288</v>
      </c>
      <c r="C109" s="23" t="s">
        <v>630</v>
      </c>
      <c r="D109" s="18" t="s">
        <v>549</v>
      </c>
      <c r="E109" s="9" t="s">
        <v>38</v>
      </c>
      <c r="F109" s="19" t="n">
        <v>105000</v>
      </c>
      <c r="G109" s="18" t="s">
        <v>147</v>
      </c>
      <c r="H109" s="9"/>
    </row>
    <row r="110" customFormat="false" ht="18.75" hidden="false" customHeight="true" outlineLevel="0" collapsed="false">
      <c r="A110" s="20" t="n">
        <v>106</v>
      </c>
      <c r="B110" s="21" t="s">
        <v>290</v>
      </c>
      <c r="C110" s="24" t="s">
        <v>631</v>
      </c>
      <c r="D110" s="21" t="s">
        <v>549</v>
      </c>
      <c r="E110" s="13" t="s">
        <v>42</v>
      </c>
      <c r="F110" s="22" t="n">
        <v>61000</v>
      </c>
      <c r="G110" s="21" t="s">
        <v>147</v>
      </c>
      <c r="H110" s="13"/>
    </row>
    <row r="111" customFormat="false" ht="18.75" hidden="false" customHeight="true" outlineLevel="0" collapsed="false">
      <c r="A111" s="17" t="n">
        <v>107</v>
      </c>
      <c r="B111" s="18" t="s">
        <v>292</v>
      </c>
      <c r="C111" s="23" t="s">
        <v>315</v>
      </c>
      <c r="D111" s="18" t="s">
        <v>549</v>
      </c>
      <c r="E111" s="9" t="s">
        <v>38</v>
      </c>
      <c r="F111" s="19" t="n">
        <v>15000</v>
      </c>
      <c r="G111" s="18" t="s">
        <v>147</v>
      </c>
      <c r="H111" s="9"/>
    </row>
    <row r="112" customFormat="false" ht="18.75" hidden="false" customHeight="true" outlineLevel="0" collapsed="false">
      <c r="A112" s="20" t="n">
        <v>108</v>
      </c>
      <c r="B112" s="21" t="s">
        <v>294</v>
      </c>
      <c r="C112" s="24" t="s">
        <v>632</v>
      </c>
      <c r="D112" s="21" t="s">
        <v>549</v>
      </c>
      <c r="E112" s="13" t="s">
        <v>38</v>
      </c>
      <c r="F112" s="22" t="n">
        <v>116000</v>
      </c>
      <c r="G112" s="21" t="s">
        <v>90</v>
      </c>
      <c r="H112" s="13"/>
    </row>
    <row r="113" customFormat="false" ht="18.75" hidden="false" customHeight="true" outlineLevel="0" collapsed="false">
      <c r="A113" s="17" t="n">
        <v>109</v>
      </c>
      <c r="B113" s="18" t="s">
        <v>295</v>
      </c>
      <c r="C113" s="23" t="s">
        <v>317</v>
      </c>
      <c r="D113" s="18" t="s">
        <v>549</v>
      </c>
      <c r="E113" s="9" t="s">
        <v>38</v>
      </c>
      <c r="F113" s="19" t="n">
        <v>112000</v>
      </c>
      <c r="G113" s="18" t="s">
        <v>90</v>
      </c>
      <c r="H113" s="9"/>
    </row>
    <row r="114" customFormat="false" ht="18.75" hidden="false" customHeight="true" outlineLevel="0" collapsed="false">
      <c r="A114" s="20" t="n">
        <v>110</v>
      </c>
      <c r="B114" s="21" t="s">
        <v>297</v>
      </c>
      <c r="C114" s="24" t="s">
        <v>317</v>
      </c>
      <c r="D114" s="21" t="s">
        <v>549</v>
      </c>
      <c r="E114" s="13" t="s">
        <v>42</v>
      </c>
      <c r="F114" s="22" t="n">
        <v>26600</v>
      </c>
      <c r="G114" s="21" t="s">
        <v>90</v>
      </c>
      <c r="H114" s="13"/>
    </row>
    <row r="115" customFormat="false" ht="18.75" hidden="false" customHeight="true" outlineLevel="0" collapsed="false">
      <c r="A115" s="17" t="n">
        <v>111</v>
      </c>
      <c r="B115" s="18" t="s">
        <v>298</v>
      </c>
      <c r="C115" s="23" t="s">
        <v>633</v>
      </c>
      <c r="D115" s="18" t="s">
        <v>549</v>
      </c>
      <c r="E115" s="9" t="s">
        <v>46</v>
      </c>
      <c r="F115" s="19" t="n">
        <v>10000</v>
      </c>
      <c r="G115" s="18" t="s">
        <v>147</v>
      </c>
      <c r="H115" s="9"/>
    </row>
    <row r="116" customFormat="false" ht="18.75" hidden="false" customHeight="true" outlineLevel="0" collapsed="false">
      <c r="A116" s="20" t="n">
        <v>112</v>
      </c>
      <c r="B116" s="21" t="s">
        <v>300</v>
      </c>
      <c r="C116" s="24" t="s">
        <v>634</v>
      </c>
      <c r="D116" s="21" t="s">
        <v>549</v>
      </c>
      <c r="E116" s="13" t="s">
        <v>38</v>
      </c>
      <c r="F116" s="22" t="n">
        <v>64500</v>
      </c>
      <c r="G116" s="21" t="s">
        <v>90</v>
      </c>
      <c r="H116" s="13"/>
    </row>
    <row r="117" customFormat="false" ht="18.75" hidden="false" customHeight="true" outlineLevel="0" collapsed="false">
      <c r="A117" s="17" t="n">
        <v>113</v>
      </c>
      <c r="B117" s="18" t="s">
        <v>302</v>
      </c>
      <c r="C117" s="23" t="s">
        <v>635</v>
      </c>
      <c r="D117" s="18" t="s">
        <v>549</v>
      </c>
      <c r="E117" s="9" t="s">
        <v>38</v>
      </c>
      <c r="F117" s="19" t="n">
        <v>75000</v>
      </c>
      <c r="G117" s="18" t="s">
        <v>147</v>
      </c>
      <c r="H117" s="9" t="s">
        <v>636</v>
      </c>
    </row>
    <row r="118" customFormat="false" ht="18.75" hidden="false" customHeight="true" outlineLevel="0" collapsed="false">
      <c r="A118" s="20" t="n">
        <v>114</v>
      </c>
      <c r="B118" s="21" t="s">
        <v>304</v>
      </c>
      <c r="C118" s="24" t="s">
        <v>635</v>
      </c>
      <c r="D118" s="21" t="s">
        <v>549</v>
      </c>
      <c r="E118" s="13" t="s">
        <v>46</v>
      </c>
      <c r="F118" s="22" t="n">
        <v>10000</v>
      </c>
      <c r="G118" s="21" t="s">
        <v>147</v>
      </c>
      <c r="H118" s="13"/>
    </row>
    <row r="119" customFormat="false" ht="18.75" hidden="false" customHeight="true" outlineLevel="0" collapsed="false">
      <c r="A119" s="17" t="n">
        <v>115</v>
      </c>
      <c r="B119" s="18" t="s">
        <v>306</v>
      </c>
      <c r="C119" s="23" t="s">
        <v>320</v>
      </c>
      <c r="D119" s="18" t="s">
        <v>549</v>
      </c>
      <c r="E119" s="9" t="s">
        <v>38</v>
      </c>
      <c r="F119" s="19" t="n">
        <v>24999</v>
      </c>
      <c r="G119" s="18" t="s">
        <v>147</v>
      </c>
      <c r="H119" s="9" t="s">
        <v>637</v>
      </c>
    </row>
    <row r="120" customFormat="false" ht="18.75" hidden="false" customHeight="true" outlineLevel="0" collapsed="false">
      <c r="A120" s="20" t="n">
        <v>116</v>
      </c>
      <c r="B120" s="21" t="s">
        <v>314</v>
      </c>
      <c r="C120" s="24" t="s">
        <v>323</v>
      </c>
      <c r="D120" s="21" t="s">
        <v>549</v>
      </c>
      <c r="E120" s="13" t="s">
        <v>38</v>
      </c>
      <c r="F120" s="22" t="n">
        <v>16000</v>
      </c>
      <c r="G120" s="21" t="s">
        <v>147</v>
      </c>
      <c r="H120" s="13" t="s">
        <v>638</v>
      </c>
    </row>
    <row r="121" customFormat="false" ht="18.75" hidden="false" customHeight="true" outlineLevel="0" collapsed="false">
      <c r="A121" s="17" t="n">
        <v>117</v>
      </c>
      <c r="B121" s="18" t="s">
        <v>309</v>
      </c>
      <c r="C121" s="23" t="s">
        <v>639</v>
      </c>
      <c r="D121" s="18" t="s">
        <v>549</v>
      </c>
      <c r="E121" s="9" t="s">
        <v>38</v>
      </c>
      <c r="F121" s="19" t="n">
        <v>75000</v>
      </c>
      <c r="G121" s="18" t="s">
        <v>90</v>
      </c>
      <c r="H121" s="9"/>
    </row>
    <row r="122" customFormat="false" ht="18.75" hidden="false" customHeight="true" outlineLevel="0" collapsed="false">
      <c r="A122" s="20" t="n">
        <v>118</v>
      </c>
      <c r="B122" s="21" t="s">
        <v>311</v>
      </c>
      <c r="C122" s="24" t="s">
        <v>640</v>
      </c>
      <c r="D122" s="21" t="s">
        <v>549</v>
      </c>
      <c r="E122" s="13" t="s">
        <v>42</v>
      </c>
      <c r="F122" s="22" t="n">
        <v>31000</v>
      </c>
      <c r="G122" s="21" t="s">
        <v>147</v>
      </c>
      <c r="H122" s="13"/>
    </row>
    <row r="123" customFormat="false" ht="18.75" hidden="false" customHeight="true" outlineLevel="0" collapsed="false">
      <c r="A123" s="17" t="n">
        <v>119</v>
      </c>
      <c r="B123" s="18" t="s">
        <v>312</v>
      </c>
      <c r="C123" s="23" t="s">
        <v>641</v>
      </c>
      <c r="D123" s="18" t="s">
        <v>549</v>
      </c>
      <c r="E123" s="9" t="s">
        <v>38</v>
      </c>
      <c r="F123" s="19" t="n">
        <v>12000</v>
      </c>
      <c r="G123" s="18" t="s">
        <v>147</v>
      </c>
      <c r="H123" s="9"/>
    </row>
    <row r="124" customFormat="false" ht="18.75" hidden="false" customHeight="true" outlineLevel="0" collapsed="false">
      <c r="A124" s="20" t="n">
        <v>120</v>
      </c>
      <c r="B124" s="21" t="s">
        <v>316</v>
      </c>
      <c r="C124" s="24" t="s">
        <v>327</v>
      </c>
      <c r="D124" s="21" t="s">
        <v>549</v>
      </c>
      <c r="E124" s="13" t="s">
        <v>42</v>
      </c>
      <c r="F124" s="22" t="n">
        <v>59500</v>
      </c>
      <c r="G124" s="21" t="s">
        <v>147</v>
      </c>
      <c r="H124" s="13"/>
    </row>
    <row r="125" customFormat="false" ht="18.75" hidden="false" customHeight="true" outlineLevel="0" collapsed="false">
      <c r="A125" s="17" t="n">
        <v>121</v>
      </c>
      <c r="B125" s="18" t="s">
        <v>318</v>
      </c>
      <c r="C125" s="23" t="s">
        <v>642</v>
      </c>
      <c r="D125" s="18" t="s">
        <v>549</v>
      </c>
      <c r="E125" s="9" t="s">
        <v>46</v>
      </c>
      <c r="F125" s="19" t="n">
        <v>10000</v>
      </c>
      <c r="G125" s="18" t="s">
        <v>147</v>
      </c>
      <c r="H125" s="9"/>
    </row>
    <row r="126" customFormat="false" ht="18.75" hidden="false" customHeight="true" outlineLevel="0" collapsed="false">
      <c r="A126" s="20" t="n">
        <v>122</v>
      </c>
      <c r="B126" s="21" t="s">
        <v>319</v>
      </c>
      <c r="C126" s="24" t="s">
        <v>643</v>
      </c>
      <c r="D126" s="21" t="s">
        <v>549</v>
      </c>
      <c r="E126" s="13" t="s">
        <v>38</v>
      </c>
      <c r="F126" s="22" t="n">
        <v>200000</v>
      </c>
      <c r="G126" s="21" t="s">
        <v>147</v>
      </c>
      <c r="H126" s="13" t="s">
        <v>644</v>
      </c>
    </row>
    <row r="127" customFormat="false" ht="18.75" hidden="false" customHeight="true" outlineLevel="0" collapsed="false">
      <c r="A127" s="17" t="n">
        <v>123</v>
      </c>
      <c r="B127" s="18" t="s">
        <v>321</v>
      </c>
      <c r="C127" s="23" t="s">
        <v>645</v>
      </c>
      <c r="D127" s="18" t="s">
        <v>549</v>
      </c>
      <c r="E127" s="9" t="s">
        <v>38</v>
      </c>
      <c r="F127" s="19" t="n">
        <v>200000</v>
      </c>
      <c r="G127" s="18" t="s">
        <v>147</v>
      </c>
      <c r="H127" s="9"/>
    </row>
    <row r="128" customFormat="false" ht="18.75" hidden="false" customHeight="true" outlineLevel="0" collapsed="false">
      <c r="A128" s="20" t="n">
        <v>124</v>
      </c>
      <c r="B128" s="21" t="s">
        <v>322</v>
      </c>
      <c r="C128" s="24" t="s">
        <v>646</v>
      </c>
      <c r="D128" s="21" t="s">
        <v>549</v>
      </c>
      <c r="E128" s="13" t="s">
        <v>38</v>
      </c>
      <c r="F128" s="22" t="n">
        <v>99000</v>
      </c>
      <c r="G128" s="21" t="s">
        <v>147</v>
      </c>
      <c r="H128" s="13" t="s">
        <v>647</v>
      </c>
    </row>
    <row r="129" customFormat="false" ht="18.75" hidden="false" customHeight="true" outlineLevel="0" collapsed="false">
      <c r="A129" s="17" t="n">
        <v>125</v>
      </c>
      <c r="B129" s="18" t="s">
        <v>324</v>
      </c>
      <c r="C129" s="23" t="s">
        <v>648</v>
      </c>
      <c r="D129" s="18" t="s">
        <v>549</v>
      </c>
      <c r="E129" s="9" t="s">
        <v>38</v>
      </c>
      <c r="F129" s="19" t="n">
        <v>12000</v>
      </c>
      <c r="G129" s="18" t="s">
        <v>147</v>
      </c>
      <c r="H129" s="9" t="s">
        <v>649</v>
      </c>
    </row>
    <row r="130" customFormat="false" ht="18.75" hidden="false" customHeight="true" outlineLevel="0" collapsed="false">
      <c r="A130" s="20" t="n">
        <v>126</v>
      </c>
      <c r="B130" s="21" t="s">
        <v>326</v>
      </c>
      <c r="C130" s="24" t="s">
        <v>650</v>
      </c>
      <c r="D130" s="21" t="s">
        <v>549</v>
      </c>
      <c r="E130" s="13" t="s">
        <v>38</v>
      </c>
      <c r="F130" s="22" t="n">
        <v>50000</v>
      </c>
      <c r="G130" s="21" t="s">
        <v>560</v>
      </c>
      <c r="H130" s="13"/>
    </row>
    <row r="131" customFormat="false" ht="18.75" hidden="false" customHeight="true" outlineLevel="0" collapsed="false">
      <c r="A131" s="17" t="n">
        <v>127</v>
      </c>
      <c r="B131" s="18" t="s">
        <v>328</v>
      </c>
      <c r="C131" s="23" t="s">
        <v>337</v>
      </c>
      <c r="D131" s="18" t="s">
        <v>549</v>
      </c>
      <c r="E131" s="9" t="s">
        <v>46</v>
      </c>
      <c r="F131" s="19" t="n">
        <v>20000</v>
      </c>
      <c r="G131" s="18" t="s">
        <v>147</v>
      </c>
      <c r="H131" s="9"/>
    </row>
    <row r="132" customFormat="false" ht="18.75" hidden="false" customHeight="true" outlineLevel="0" collapsed="false">
      <c r="A132" s="20" t="n">
        <v>128</v>
      </c>
      <c r="B132" s="21" t="s">
        <v>332</v>
      </c>
      <c r="C132" s="24" t="s">
        <v>651</v>
      </c>
      <c r="D132" s="21" t="s">
        <v>549</v>
      </c>
      <c r="E132" s="13" t="s">
        <v>42</v>
      </c>
      <c r="F132" s="22" t="n">
        <v>30000</v>
      </c>
      <c r="G132" s="21" t="s">
        <v>147</v>
      </c>
      <c r="H132" s="13"/>
    </row>
    <row r="133" customFormat="false" ht="18.75" hidden="false" customHeight="true" outlineLevel="0" collapsed="false">
      <c r="A133" s="17" t="n">
        <v>129</v>
      </c>
      <c r="B133" s="18" t="s">
        <v>336</v>
      </c>
      <c r="C133" s="23" t="s">
        <v>652</v>
      </c>
      <c r="D133" s="18" t="s">
        <v>549</v>
      </c>
      <c r="E133" s="9" t="s">
        <v>38</v>
      </c>
      <c r="F133" s="19" t="n">
        <v>15000</v>
      </c>
      <c r="G133" s="18" t="s">
        <v>90</v>
      </c>
      <c r="H133" s="9"/>
    </row>
    <row r="134" customFormat="false" ht="18.75" hidden="false" customHeight="true" outlineLevel="0" collapsed="false">
      <c r="A134" s="20" t="n">
        <v>130</v>
      </c>
      <c r="B134" s="21" t="s">
        <v>334</v>
      </c>
      <c r="C134" s="24" t="s">
        <v>653</v>
      </c>
      <c r="D134" s="21" t="s">
        <v>549</v>
      </c>
      <c r="E134" s="13" t="s">
        <v>38</v>
      </c>
      <c r="F134" s="22" t="n">
        <v>33000</v>
      </c>
      <c r="G134" s="21" t="s">
        <v>90</v>
      </c>
      <c r="H134" s="13"/>
    </row>
    <row r="135" customFormat="false" ht="18.75" hidden="false" customHeight="true" outlineLevel="0" collapsed="false">
      <c r="A135" s="17" t="n">
        <v>131</v>
      </c>
      <c r="B135" s="18" t="s">
        <v>330</v>
      </c>
      <c r="C135" s="23" t="s">
        <v>654</v>
      </c>
      <c r="D135" s="18" t="s">
        <v>549</v>
      </c>
      <c r="E135" s="9" t="s">
        <v>42</v>
      </c>
      <c r="F135" s="19" t="n">
        <v>12200</v>
      </c>
      <c r="G135" s="18" t="s">
        <v>147</v>
      </c>
      <c r="H135" s="9"/>
    </row>
    <row r="136" customFormat="false" ht="18.75" hidden="false" customHeight="true" outlineLevel="0" collapsed="false">
      <c r="A136" s="20" t="n">
        <v>132</v>
      </c>
      <c r="B136" s="21" t="s">
        <v>338</v>
      </c>
      <c r="C136" s="24" t="s">
        <v>654</v>
      </c>
      <c r="D136" s="21" t="s">
        <v>549</v>
      </c>
      <c r="E136" s="13" t="s">
        <v>38</v>
      </c>
      <c r="F136" s="22" t="n">
        <v>75000</v>
      </c>
      <c r="G136" s="21" t="s">
        <v>147</v>
      </c>
      <c r="H136" s="13" t="s">
        <v>629</v>
      </c>
    </row>
    <row r="137" customFormat="false" ht="18.75" hidden="false" customHeight="true" outlineLevel="0" collapsed="false">
      <c r="A137" s="17" t="n">
        <v>133</v>
      </c>
      <c r="B137" s="18" t="s">
        <v>340</v>
      </c>
      <c r="C137" s="23" t="s">
        <v>655</v>
      </c>
      <c r="D137" s="18" t="s">
        <v>549</v>
      </c>
      <c r="E137" s="9" t="s">
        <v>38</v>
      </c>
      <c r="F137" s="19" t="n">
        <v>75000</v>
      </c>
      <c r="G137" s="18" t="s">
        <v>147</v>
      </c>
      <c r="H137" s="9" t="s">
        <v>629</v>
      </c>
    </row>
    <row r="138" customFormat="false" ht="18.75" hidden="false" customHeight="true" outlineLevel="0" collapsed="false">
      <c r="A138" s="20" t="n">
        <v>134</v>
      </c>
      <c r="B138" s="21" t="s">
        <v>342</v>
      </c>
      <c r="C138" s="24" t="s">
        <v>656</v>
      </c>
      <c r="D138" s="21" t="s">
        <v>549</v>
      </c>
      <c r="E138" s="13" t="s">
        <v>46</v>
      </c>
      <c r="F138" s="22" t="n">
        <v>10000</v>
      </c>
      <c r="G138" s="21" t="s">
        <v>147</v>
      </c>
      <c r="H138" s="13"/>
    </row>
    <row r="139" customFormat="false" ht="18.75" hidden="false" customHeight="true" outlineLevel="0" collapsed="false">
      <c r="A139" s="17" t="n">
        <v>135</v>
      </c>
      <c r="B139" s="18" t="s">
        <v>343</v>
      </c>
      <c r="C139" s="23" t="s">
        <v>339</v>
      </c>
      <c r="D139" s="18" t="s">
        <v>549</v>
      </c>
      <c r="E139" s="9" t="s">
        <v>42</v>
      </c>
      <c r="F139" s="19" t="n">
        <v>50000</v>
      </c>
      <c r="G139" s="18" t="s">
        <v>147</v>
      </c>
      <c r="H139" s="9"/>
    </row>
    <row r="140" customFormat="false" ht="18.75" hidden="false" customHeight="true" outlineLevel="0" collapsed="false">
      <c r="A140" s="20" t="n">
        <v>136</v>
      </c>
      <c r="B140" s="21" t="s">
        <v>345</v>
      </c>
      <c r="C140" s="24" t="s">
        <v>657</v>
      </c>
      <c r="D140" s="21" t="s">
        <v>549</v>
      </c>
      <c r="E140" s="13" t="s">
        <v>46</v>
      </c>
      <c r="F140" s="22" t="n">
        <v>10000</v>
      </c>
      <c r="G140" s="21" t="s">
        <v>147</v>
      </c>
      <c r="H140" s="13"/>
    </row>
    <row r="141" customFormat="false" ht="18.75" hidden="false" customHeight="true" outlineLevel="0" collapsed="false">
      <c r="A141" s="17" t="n">
        <v>137</v>
      </c>
      <c r="B141" s="18" t="s">
        <v>347</v>
      </c>
      <c r="C141" s="23" t="s">
        <v>658</v>
      </c>
      <c r="D141" s="18" t="s">
        <v>549</v>
      </c>
      <c r="E141" s="9" t="s">
        <v>46</v>
      </c>
      <c r="F141" s="19" t="n">
        <v>10000</v>
      </c>
      <c r="G141" s="18" t="s">
        <v>147</v>
      </c>
      <c r="H141" s="9"/>
    </row>
    <row r="142" customFormat="false" ht="18.75" hidden="false" customHeight="true" outlineLevel="0" collapsed="false">
      <c r="A142" s="20" t="n">
        <v>138</v>
      </c>
      <c r="B142" s="21" t="s">
        <v>349</v>
      </c>
      <c r="C142" s="24" t="s">
        <v>659</v>
      </c>
      <c r="D142" s="21" t="s">
        <v>549</v>
      </c>
      <c r="E142" s="13" t="s">
        <v>38</v>
      </c>
      <c r="F142" s="22" t="n">
        <v>200000</v>
      </c>
      <c r="G142" s="21" t="s">
        <v>147</v>
      </c>
      <c r="H142" s="13" t="s">
        <v>660</v>
      </c>
    </row>
    <row r="143" customFormat="false" ht="18.75" hidden="false" customHeight="true" outlineLevel="0" collapsed="false">
      <c r="A143" s="17" t="n">
        <v>139</v>
      </c>
      <c r="B143" s="18" t="s">
        <v>357</v>
      </c>
      <c r="C143" s="23" t="s">
        <v>661</v>
      </c>
      <c r="D143" s="18" t="s">
        <v>549</v>
      </c>
      <c r="E143" s="9" t="s">
        <v>38</v>
      </c>
      <c r="F143" s="19" t="n">
        <v>100000</v>
      </c>
      <c r="G143" s="18" t="s">
        <v>90</v>
      </c>
      <c r="H143" s="9"/>
    </row>
    <row r="144" customFormat="false" ht="18.75" hidden="false" customHeight="true" outlineLevel="0" collapsed="false">
      <c r="A144" s="20" t="n">
        <v>140</v>
      </c>
      <c r="B144" s="21" t="s">
        <v>351</v>
      </c>
      <c r="C144" s="24" t="s">
        <v>662</v>
      </c>
      <c r="D144" s="21" t="s">
        <v>549</v>
      </c>
      <c r="E144" s="13" t="s">
        <v>46</v>
      </c>
      <c r="F144" s="22" t="n">
        <v>10000</v>
      </c>
      <c r="G144" s="21" t="s">
        <v>147</v>
      </c>
      <c r="H144" s="13"/>
    </row>
    <row r="145" customFormat="false" ht="18.75" hidden="false" customHeight="true" outlineLevel="0" collapsed="false">
      <c r="A145" s="17" t="n">
        <v>141</v>
      </c>
      <c r="B145" s="18" t="s">
        <v>352</v>
      </c>
      <c r="C145" s="23" t="s">
        <v>346</v>
      </c>
      <c r="D145" s="18" t="s">
        <v>549</v>
      </c>
      <c r="E145" s="9" t="s">
        <v>42</v>
      </c>
      <c r="F145" s="19" t="n">
        <v>56500</v>
      </c>
      <c r="G145" s="18" t="s">
        <v>147</v>
      </c>
      <c r="H145" s="9"/>
    </row>
    <row r="146" customFormat="false" ht="18.75" hidden="false" customHeight="true" outlineLevel="0" collapsed="false">
      <c r="A146" s="20" t="n">
        <v>142</v>
      </c>
      <c r="B146" s="21" t="s">
        <v>355</v>
      </c>
      <c r="C146" s="24" t="s">
        <v>348</v>
      </c>
      <c r="D146" s="21" t="s">
        <v>549</v>
      </c>
      <c r="E146" s="13" t="s">
        <v>38</v>
      </c>
      <c r="F146" s="22" t="n">
        <v>100000</v>
      </c>
      <c r="G146" s="21" t="s">
        <v>147</v>
      </c>
      <c r="H146" s="13" t="s">
        <v>629</v>
      </c>
    </row>
    <row r="147" customFormat="false" ht="18.75" hidden="false" customHeight="true" outlineLevel="0" collapsed="false">
      <c r="A147" s="17" t="n">
        <v>143</v>
      </c>
      <c r="B147" s="18" t="s">
        <v>359</v>
      </c>
      <c r="C147" s="23" t="s">
        <v>663</v>
      </c>
      <c r="D147" s="18" t="s">
        <v>549</v>
      </c>
      <c r="E147" s="9" t="s">
        <v>46</v>
      </c>
      <c r="F147" s="19" t="n">
        <v>10000</v>
      </c>
      <c r="G147" s="18" t="s">
        <v>90</v>
      </c>
      <c r="H147" s="9"/>
    </row>
    <row r="148" customFormat="false" ht="18.75" hidden="false" customHeight="true" outlineLevel="0" collapsed="false">
      <c r="A148" s="20" t="n">
        <v>144</v>
      </c>
      <c r="B148" s="21" t="s">
        <v>361</v>
      </c>
      <c r="C148" s="24" t="s">
        <v>664</v>
      </c>
      <c r="D148" s="21" t="s">
        <v>549</v>
      </c>
      <c r="E148" s="13" t="s">
        <v>42</v>
      </c>
      <c r="F148" s="22" t="n">
        <v>36000</v>
      </c>
      <c r="G148" s="21" t="s">
        <v>147</v>
      </c>
      <c r="H148" s="13"/>
    </row>
    <row r="149" customFormat="false" ht="18.75" hidden="false" customHeight="true" outlineLevel="0" collapsed="false">
      <c r="A149" s="17" t="n">
        <v>145</v>
      </c>
      <c r="B149" s="18" t="s">
        <v>363</v>
      </c>
      <c r="C149" s="23" t="s">
        <v>665</v>
      </c>
      <c r="D149" s="18" t="s">
        <v>549</v>
      </c>
      <c r="E149" s="9" t="s">
        <v>46</v>
      </c>
      <c r="F149" s="19" t="n">
        <v>10000</v>
      </c>
      <c r="G149" s="18" t="s">
        <v>147</v>
      </c>
      <c r="H149" s="9"/>
    </row>
    <row r="150" customFormat="false" ht="18.75" hidden="false" customHeight="true" outlineLevel="0" collapsed="false">
      <c r="A150" s="20" t="n">
        <v>146</v>
      </c>
      <c r="B150" s="21" t="s">
        <v>365</v>
      </c>
      <c r="C150" s="24" t="s">
        <v>666</v>
      </c>
      <c r="D150" s="21" t="s">
        <v>549</v>
      </c>
      <c r="E150" s="13" t="s">
        <v>38</v>
      </c>
      <c r="F150" s="22" t="n">
        <v>109250</v>
      </c>
      <c r="G150" s="21" t="s">
        <v>147</v>
      </c>
      <c r="H150" s="13" t="s">
        <v>667</v>
      </c>
    </row>
    <row r="151" customFormat="false" ht="18.75" hidden="false" customHeight="true" outlineLevel="0" collapsed="false">
      <c r="A151" s="17" t="n">
        <v>147</v>
      </c>
      <c r="B151" s="18" t="s">
        <v>367</v>
      </c>
      <c r="C151" s="23" t="s">
        <v>668</v>
      </c>
      <c r="D151" s="18" t="s">
        <v>549</v>
      </c>
      <c r="E151" s="9" t="s">
        <v>38</v>
      </c>
      <c r="F151" s="19" t="n">
        <v>40000</v>
      </c>
      <c r="G151" s="18" t="s">
        <v>147</v>
      </c>
      <c r="H151" s="9" t="s">
        <v>669</v>
      </c>
    </row>
    <row r="152" customFormat="false" ht="18.75" hidden="false" customHeight="true" outlineLevel="0" collapsed="false">
      <c r="A152" s="20" t="n">
        <v>148</v>
      </c>
      <c r="B152" s="21" t="s">
        <v>369</v>
      </c>
      <c r="C152" s="24" t="s">
        <v>358</v>
      </c>
      <c r="D152" s="21" t="s">
        <v>549</v>
      </c>
      <c r="E152" s="13" t="s">
        <v>38</v>
      </c>
      <c r="F152" s="22" t="n">
        <v>84000</v>
      </c>
      <c r="G152" s="21" t="s">
        <v>90</v>
      </c>
      <c r="H152" s="13" t="s">
        <v>670</v>
      </c>
    </row>
    <row r="153" customFormat="false" ht="18.75" hidden="false" customHeight="true" outlineLevel="0" collapsed="false">
      <c r="A153" s="17" t="n">
        <v>149</v>
      </c>
      <c r="B153" s="18" t="s">
        <v>371</v>
      </c>
      <c r="C153" s="23" t="s">
        <v>358</v>
      </c>
      <c r="D153" s="18" t="s">
        <v>549</v>
      </c>
      <c r="E153" s="9" t="s">
        <v>46</v>
      </c>
      <c r="F153" s="19" t="n">
        <v>5000</v>
      </c>
      <c r="G153" s="18" t="s">
        <v>90</v>
      </c>
      <c r="H153" s="9"/>
    </row>
    <row r="154" customFormat="false" ht="18.75" hidden="false" customHeight="true" outlineLevel="0" collapsed="false">
      <c r="A154" s="20" t="n">
        <v>150</v>
      </c>
      <c r="B154" s="21" t="s">
        <v>373</v>
      </c>
      <c r="C154" s="24" t="s">
        <v>358</v>
      </c>
      <c r="D154" s="21" t="s">
        <v>549</v>
      </c>
      <c r="E154" s="13" t="s">
        <v>38</v>
      </c>
      <c r="F154" s="22" t="n">
        <v>6000</v>
      </c>
      <c r="G154" s="21" t="s">
        <v>147</v>
      </c>
      <c r="H154" s="13" t="s">
        <v>671</v>
      </c>
    </row>
    <row r="155" customFormat="false" ht="18.75" hidden="false" customHeight="true" outlineLevel="0" collapsed="false">
      <c r="A155" s="17" t="n">
        <v>151</v>
      </c>
      <c r="B155" s="18" t="s">
        <v>374</v>
      </c>
      <c r="C155" s="23" t="s">
        <v>364</v>
      </c>
      <c r="D155" s="18" t="s">
        <v>549</v>
      </c>
      <c r="E155" s="9" t="s">
        <v>38</v>
      </c>
      <c r="F155" s="19" t="n">
        <v>100000</v>
      </c>
      <c r="G155" s="18" t="s">
        <v>147</v>
      </c>
      <c r="H155" s="9" t="s">
        <v>672</v>
      </c>
    </row>
    <row r="156" customFormat="false" ht="18.75" hidden="false" customHeight="true" outlineLevel="0" collapsed="false">
      <c r="A156" s="20" t="n">
        <v>152</v>
      </c>
      <c r="B156" s="21" t="s">
        <v>376</v>
      </c>
      <c r="C156" s="24" t="s">
        <v>673</v>
      </c>
      <c r="D156" s="21" t="s">
        <v>549</v>
      </c>
      <c r="E156" s="13" t="s">
        <v>38</v>
      </c>
      <c r="F156" s="22" t="n">
        <v>100000</v>
      </c>
      <c r="G156" s="21" t="s">
        <v>147</v>
      </c>
      <c r="H156" s="13" t="s">
        <v>674</v>
      </c>
    </row>
    <row r="157" customFormat="false" ht="18.75" hidden="false" customHeight="true" outlineLevel="0" collapsed="false">
      <c r="A157" s="17" t="n">
        <v>153</v>
      </c>
      <c r="B157" s="18" t="s">
        <v>382</v>
      </c>
      <c r="C157" s="23" t="s">
        <v>675</v>
      </c>
      <c r="D157" s="18" t="s">
        <v>549</v>
      </c>
      <c r="E157" s="9" t="s">
        <v>46</v>
      </c>
      <c r="F157" s="19" t="n">
        <v>10000</v>
      </c>
      <c r="G157" s="18" t="s">
        <v>147</v>
      </c>
      <c r="H157" s="9"/>
    </row>
    <row r="158" customFormat="false" ht="18.75" hidden="false" customHeight="true" outlineLevel="0" collapsed="false">
      <c r="A158" s="20" t="n">
        <v>154</v>
      </c>
      <c r="B158" s="21" t="s">
        <v>378</v>
      </c>
      <c r="C158" s="24" t="s">
        <v>676</v>
      </c>
      <c r="D158" s="21" t="s">
        <v>549</v>
      </c>
      <c r="E158" s="13" t="s">
        <v>38</v>
      </c>
      <c r="F158" s="22" t="n">
        <v>100000</v>
      </c>
      <c r="G158" s="21" t="s">
        <v>147</v>
      </c>
      <c r="H158" s="13" t="s">
        <v>677</v>
      </c>
    </row>
    <row r="159" customFormat="false" ht="18.75" hidden="false" customHeight="true" outlineLevel="0" collapsed="false">
      <c r="A159" s="17" t="n">
        <v>155</v>
      </c>
      <c r="B159" s="18" t="s">
        <v>380</v>
      </c>
      <c r="C159" s="23" t="s">
        <v>678</v>
      </c>
      <c r="D159" s="18" t="s">
        <v>549</v>
      </c>
      <c r="E159" s="9" t="s">
        <v>46</v>
      </c>
      <c r="F159" s="19" t="n">
        <v>10000</v>
      </c>
      <c r="G159" s="18" t="s">
        <v>90</v>
      </c>
      <c r="H159" s="9" t="s">
        <v>679</v>
      </c>
    </row>
    <row r="160" customFormat="false" ht="18.75" hidden="false" customHeight="true" outlineLevel="0" collapsed="false">
      <c r="A160" s="20" t="n">
        <v>156</v>
      </c>
      <c r="B160" s="21" t="s">
        <v>384</v>
      </c>
      <c r="C160" s="24" t="s">
        <v>368</v>
      </c>
      <c r="D160" s="21" t="s">
        <v>549</v>
      </c>
      <c r="E160" s="13" t="s">
        <v>38</v>
      </c>
      <c r="F160" s="22" t="n">
        <v>100000</v>
      </c>
      <c r="G160" s="21" t="s">
        <v>147</v>
      </c>
      <c r="H160" s="13" t="s">
        <v>680</v>
      </c>
    </row>
    <row r="161" customFormat="false" ht="18.75" hidden="false" customHeight="true" outlineLevel="0" collapsed="false">
      <c r="A161" s="17" t="n">
        <v>157</v>
      </c>
      <c r="B161" s="18" t="s">
        <v>386</v>
      </c>
      <c r="C161" s="23" t="s">
        <v>681</v>
      </c>
      <c r="D161" s="18" t="s">
        <v>549</v>
      </c>
      <c r="E161" s="9" t="s">
        <v>38</v>
      </c>
      <c r="F161" s="19" t="n">
        <v>100000</v>
      </c>
      <c r="G161" s="18" t="s">
        <v>147</v>
      </c>
      <c r="H161" s="9" t="s">
        <v>682</v>
      </c>
    </row>
    <row r="162" customFormat="false" ht="18.75" hidden="false" customHeight="true" outlineLevel="0" collapsed="false">
      <c r="A162" s="20" t="n">
        <v>158</v>
      </c>
      <c r="B162" s="21" t="s">
        <v>388</v>
      </c>
      <c r="C162" s="24" t="s">
        <v>683</v>
      </c>
      <c r="D162" s="21" t="s">
        <v>549</v>
      </c>
      <c r="E162" s="13" t="s">
        <v>38</v>
      </c>
      <c r="F162" s="22" t="n">
        <v>100000</v>
      </c>
      <c r="G162" s="21" t="s">
        <v>147</v>
      </c>
      <c r="H162" s="13" t="s">
        <v>684</v>
      </c>
    </row>
    <row r="163" customFormat="false" ht="18.75" hidden="false" customHeight="true" outlineLevel="0" collapsed="false">
      <c r="A163" s="17" t="n">
        <v>159</v>
      </c>
      <c r="B163" s="18" t="s">
        <v>390</v>
      </c>
      <c r="C163" s="23" t="s">
        <v>685</v>
      </c>
      <c r="D163" s="18" t="s">
        <v>549</v>
      </c>
      <c r="E163" s="9" t="s">
        <v>42</v>
      </c>
      <c r="F163" s="19" t="n">
        <v>34500</v>
      </c>
      <c r="G163" s="18" t="s">
        <v>147</v>
      </c>
      <c r="H163" s="9"/>
    </row>
    <row r="164" customFormat="false" ht="18.75" hidden="false" customHeight="true" outlineLevel="0" collapsed="false">
      <c r="A164" s="20" t="n">
        <v>160</v>
      </c>
      <c r="B164" s="21" t="s">
        <v>393</v>
      </c>
      <c r="C164" s="24" t="s">
        <v>686</v>
      </c>
      <c r="D164" s="21" t="s">
        <v>549</v>
      </c>
      <c r="E164" s="13" t="s">
        <v>46</v>
      </c>
      <c r="F164" s="22" t="n">
        <v>10000</v>
      </c>
      <c r="G164" s="21" t="s">
        <v>147</v>
      </c>
      <c r="H164" s="13"/>
    </row>
    <row r="165" customFormat="false" ht="18.75" hidden="false" customHeight="true" outlineLevel="0" collapsed="false">
      <c r="A165" s="17" t="n">
        <v>161</v>
      </c>
      <c r="B165" s="18" t="s">
        <v>391</v>
      </c>
      <c r="C165" s="23" t="s">
        <v>687</v>
      </c>
      <c r="D165" s="18" t="s">
        <v>549</v>
      </c>
      <c r="E165" s="9" t="s">
        <v>38</v>
      </c>
      <c r="F165" s="19" t="n">
        <v>100000</v>
      </c>
      <c r="G165" s="18" t="s">
        <v>147</v>
      </c>
      <c r="H165" s="9"/>
    </row>
    <row r="166" customFormat="false" ht="18.75" hidden="false" customHeight="true" outlineLevel="0" collapsed="false">
      <c r="A166" s="20" t="n">
        <v>162</v>
      </c>
      <c r="B166" s="21" t="s">
        <v>395</v>
      </c>
      <c r="C166" s="24" t="s">
        <v>688</v>
      </c>
      <c r="D166" s="21" t="s">
        <v>549</v>
      </c>
      <c r="E166" s="13" t="s">
        <v>38</v>
      </c>
      <c r="F166" s="22" t="n">
        <v>100000</v>
      </c>
      <c r="G166" s="21" t="s">
        <v>147</v>
      </c>
      <c r="H166" s="13"/>
    </row>
    <row r="167" customFormat="false" ht="18.75" hidden="false" customHeight="true" outlineLevel="0" collapsed="false">
      <c r="A167" s="17" t="n">
        <v>163</v>
      </c>
      <c r="B167" s="18" t="s">
        <v>397</v>
      </c>
      <c r="C167" s="23" t="s">
        <v>375</v>
      </c>
      <c r="D167" s="18" t="s">
        <v>549</v>
      </c>
      <c r="E167" s="9" t="s">
        <v>38</v>
      </c>
      <c r="F167" s="19" t="n">
        <v>100000</v>
      </c>
      <c r="G167" s="18" t="s">
        <v>147</v>
      </c>
      <c r="H167" s="9"/>
    </row>
    <row r="168" customFormat="false" ht="18.75" hidden="false" customHeight="true" outlineLevel="0" collapsed="false">
      <c r="A168" s="20" t="n">
        <v>164</v>
      </c>
      <c r="B168" s="21" t="s">
        <v>399</v>
      </c>
      <c r="C168" s="24" t="s">
        <v>375</v>
      </c>
      <c r="D168" s="21" t="s">
        <v>549</v>
      </c>
      <c r="E168" s="13" t="s">
        <v>42</v>
      </c>
      <c r="F168" s="22" t="n">
        <v>20000</v>
      </c>
      <c r="G168" s="21" t="s">
        <v>147</v>
      </c>
      <c r="H168" s="13"/>
    </row>
    <row r="169" customFormat="false" ht="18.75" hidden="false" customHeight="true" outlineLevel="0" collapsed="false">
      <c r="A169" s="17" t="n">
        <v>165</v>
      </c>
      <c r="B169" s="18" t="s">
        <v>404</v>
      </c>
      <c r="C169" s="23" t="s">
        <v>375</v>
      </c>
      <c r="D169" s="18" t="s">
        <v>549</v>
      </c>
      <c r="E169" s="9" t="s">
        <v>42</v>
      </c>
      <c r="F169" s="19" t="n">
        <v>45366</v>
      </c>
      <c r="G169" s="18" t="s">
        <v>147</v>
      </c>
      <c r="H169" s="9"/>
    </row>
    <row r="170" customFormat="false" ht="18.75" hidden="false" customHeight="true" outlineLevel="0" collapsed="false">
      <c r="A170" s="20" t="n">
        <v>166</v>
      </c>
      <c r="B170" s="21" t="s">
        <v>401</v>
      </c>
      <c r="C170" s="24" t="s">
        <v>689</v>
      </c>
      <c r="D170" s="21" t="s">
        <v>549</v>
      </c>
      <c r="E170" s="13" t="s">
        <v>38</v>
      </c>
      <c r="F170" s="22" t="n">
        <v>20000</v>
      </c>
      <c r="G170" s="21" t="s">
        <v>90</v>
      </c>
      <c r="H170" s="13" t="s">
        <v>679</v>
      </c>
    </row>
    <row r="171" customFormat="false" ht="18.75" hidden="false" customHeight="true" outlineLevel="0" collapsed="false">
      <c r="A171" s="17" t="n">
        <v>167</v>
      </c>
      <c r="B171" s="18" t="s">
        <v>406</v>
      </c>
      <c r="C171" s="23" t="s">
        <v>690</v>
      </c>
      <c r="D171" s="18" t="s">
        <v>549</v>
      </c>
      <c r="E171" s="9" t="s">
        <v>38</v>
      </c>
      <c r="F171" s="19" t="n">
        <v>50000</v>
      </c>
      <c r="G171" s="18" t="s">
        <v>90</v>
      </c>
      <c r="H171" s="9" t="s">
        <v>691</v>
      </c>
    </row>
    <row r="172" customFormat="false" ht="18.75" hidden="false" customHeight="true" outlineLevel="0" collapsed="false">
      <c r="A172" s="20" t="n">
        <v>168</v>
      </c>
      <c r="B172" s="21" t="s">
        <v>408</v>
      </c>
      <c r="C172" s="24" t="s">
        <v>690</v>
      </c>
      <c r="D172" s="21" t="s">
        <v>549</v>
      </c>
      <c r="E172" s="13" t="s">
        <v>46</v>
      </c>
      <c r="F172" s="22" t="n">
        <v>20000</v>
      </c>
      <c r="G172" s="21" t="s">
        <v>147</v>
      </c>
      <c r="H172" s="13"/>
    </row>
    <row r="173" customFormat="false" ht="18.75" hidden="false" customHeight="true" outlineLevel="0" collapsed="false">
      <c r="A173" s="17" t="n">
        <v>169</v>
      </c>
      <c r="B173" s="18" t="s">
        <v>410</v>
      </c>
      <c r="C173" s="23" t="s">
        <v>692</v>
      </c>
      <c r="D173" s="18" t="s">
        <v>549</v>
      </c>
      <c r="E173" s="9" t="s">
        <v>42</v>
      </c>
      <c r="F173" s="19" t="n">
        <v>50000</v>
      </c>
      <c r="G173" s="18" t="s">
        <v>147</v>
      </c>
      <c r="H173" s="9"/>
    </row>
    <row r="174" customFormat="false" ht="18.75" hidden="false" customHeight="true" outlineLevel="0" collapsed="false">
      <c r="A174" s="20" t="n">
        <v>170</v>
      </c>
      <c r="B174" s="21" t="s">
        <v>412</v>
      </c>
      <c r="C174" s="24" t="s">
        <v>692</v>
      </c>
      <c r="D174" s="21" t="s">
        <v>549</v>
      </c>
      <c r="E174" s="13" t="s">
        <v>46</v>
      </c>
      <c r="F174" s="22" t="n">
        <v>20000</v>
      </c>
      <c r="G174" s="21" t="s">
        <v>147</v>
      </c>
      <c r="H174" s="13"/>
    </row>
    <row r="175" customFormat="false" ht="18.75" hidden="false" customHeight="true" outlineLevel="0" collapsed="false">
      <c r="A175" s="17" t="n">
        <v>171</v>
      </c>
      <c r="B175" s="18" t="s">
        <v>414</v>
      </c>
      <c r="C175" s="23" t="s">
        <v>693</v>
      </c>
      <c r="D175" s="18" t="s">
        <v>549</v>
      </c>
      <c r="E175" s="9" t="s">
        <v>42</v>
      </c>
      <c r="F175" s="19" t="n">
        <v>25100</v>
      </c>
      <c r="G175" s="18" t="s">
        <v>147</v>
      </c>
      <c r="H175" s="9"/>
    </row>
    <row r="176" customFormat="false" ht="18.75" hidden="false" customHeight="true" outlineLevel="0" collapsed="false">
      <c r="A176" s="20" t="n">
        <v>172</v>
      </c>
      <c r="B176" s="21" t="s">
        <v>416</v>
      </c>
      <c r="C176" s="24" t="s">
        <v>694</v>
      </c>
      <c r="D176" s="21" t="s">
        <v>549</v>
      </c>
      <c r="E176" s="13" t="s">
        <v>38</v>
      </c>
      <c r="F176" s="22" t="n">
        <v>100000</v>
      </c>
      <c r="G176" s="21" t="s">
        <v>147</v>
      </c>
      <c r="H176" s="13" t="s">
        <v>695</v>
      </c>
    </row>
    <row r="177" customFormat="false" ht="18.75" hidden="false" customHeight="true" outlineLevel="0" collapsed="false">
      <c r="A177" s="17" t="n">
        <v>173</v>
      </c>
      <c r="B177" s="18" t="s">
        <v>418</v>
      </c>
      <c r="C177" s="23" t="s">
        <v>694</v>
      </c>
      <c r="D177" s="18" t="s">
        <v>549</v>
      </c>
      <c r="E177" s="9" t="s">
        <v>38</v>
      </c>
      <c r="F177" s="19" t="n">
        <v>100000</v>
      </c>
      <c r="G177" s="18" t="s">
        <v>147</v>
      </c>
      <c r="H177" s="9" t="s">
        <v>696</v>
      </c>
    </row>
    <row r="178" customFormat="false" ht="18.75" hidden="false" customHeight="true" outlineLevel="0" collapsed="false">
      <c r="A178" s="20" t="n">
        <v>174</v>
      </c>
      <c r="B178" s="21" t="s">
        <v>420</v>
      </c>
      <c r="C178" s="24" t="s">
        <v>383</v>
      </c>
      <c r="D178" s="21" t="s">
        <v>549</v>
      </c>
      <c r="E178" s="13" t="s">
        <v>46</v>
      </c>
      <c r="F178" s="22" t="n">
        <v>15000</v>
      </c>
      <c r="G178" s="21" t="s">
        <v>147</v>
      </c>
      <c r="H178" s="13"/>
    </row>
    <row r="179" customFormat="false" ht="18.75" hidden="false" customHeight="true" outlineLevel="0" collapsed="false">
      <c r="A179" s="17" t="n">
        <v>175</v>
      </c>
      <c r="B179" s="18" t="s">
        <v>422</v>
      </c>
      <c r="C179" s="23" t="s">
        <v>697</v>
      </c>
      <c r="D179" s="18" t="s">
        <v>549</v>
      </c>
      <c r="E179" s="9" t="s">
        <v>38</v>
      </c>
      <c r="F179" s="19" t="n">
        <v>30000</v>
      </c>
      <c r="G179" s="18" t="s">
        <v>147</v>
      </c>
      <c r="H179" s="9"/>
    </row>
    <row r="180" customFormat="false" ht="18.75" hidden="false" customHeight="true" outlineLevel="0" collapsed="false">
      <c r="A180" s="20" t="n">
        <v>176</v>
      </c>
      <c r="B180" s="21" t="s">
        <v>424</v>
      </c>
      <c r="C180" s="24" t="s">
        <v>698</v>
      </c>
      <c r="D180" s="21" t="s">
        <v>549</v>
      </c>
      <c r="E180" s="13" t="s">
        <v>42</v>
      </c>
      <c r="F180" s="22" t="n">
        <v>23192</v>
      </c>
      <c r="G180" s="21" t="s">
        <v>147</v>
      </c>
      <c r="H180" s="13"/>
    </row>
    <row r="181" customFormat="false" ht="18.75" hidden="false" customHeight="true" outlineLevel="0" collapsed="false">
      <c r="A181" s="17" t="n">
        <v>177</v>
      </c>
      <c r="B181" s="18" t="s">
        <v>426</v>
      </c>
      <c r="C181" s="23" t="s">
        <v>699</v>
      </c>
      <c r="D181" s="18" t="s">
        <v>549</v>
      </c>
      <c r="E181" s="9" t="s">
        <v>42</v>
      </c>
      <c r="F181" s="19" t="n">
        <v>30200</v>
      </c>
      <c r="G181" s="18" t="s">
        <v>147</v>
      </c>
      <c r="H181" s="9"/>
    </row>
    <row r="182" customFormat="false" ht="18.75" hidden="false" customHeight="true" outlineLevel="0" collapsed="false">
      <c r="A182" s="20" t="n">
        <v>178</v>
      </c>
      <c r="B182" s="21" t="s">
        <v>428</v>
      </c>
      <c r="C182" s="24" t="s">
        <v>700</v>
      </c>
      <c r="D182" s="21" t="s">
        <v>549</v>
      </c>
      <c r="E182" s="13" t="s">
        <v>42</v>
      </c>
      <c r="F182" s="22" t="n">
        <v>15600</v>
      </c>
      <c r="G182" s="21" t="s">
        <v>147</v>
      </c>
      <c r="H182" s="13"/>
    </row>
    <row r="183" customFormat="false" ht="18.75" hidden="false" customHeight="true" outlineLevel="0" collapsed="false">
      <c r="A183" s="17" t="n">
        <v>179</v>
      </c>
      <c r="B183" s="18" t="s">
        <v>431</v>
      </c>
      <c r="C183" s="23" t="s">
        <v>701</v>
      </c>
      <c r="D183" s="18" t="s">
        <v>549</v>
      </c>
      <c r="E183" s="9" t="s">
        <v>46</v>
      </c>
      <c r="F183" s="19" t="n">
        <v>2000</v>
      </c>
      <c r="G183" s="18" t="s">
        <v>147</v>
      </c>
      <c r="H183" s="9" t="s">
        <v>702</v>
      </c>
    </row>
    <row r="184" customFormat="false" ht="18.75" hidden="false" customHeight="true" outlineLevel="0" collapsed="false">
      <c r="A184" s="20" t="n">
        <v>180</v>
      </c>
      <c r="B184" s="21" t="s">
        <v>433</v>
      </c>
      <c r="C184" s="24" t="s">
        <v>703</v>
      </c>
      <c r="D184" s="21" t="s">
        <v>549</v>
      </c>
      <c r="E184" s="13" t="s">
        <v>38</v>
      </c>
      <c r="F184" s="22" t="n">
        <v>30000</v>
      </c>
      <c r="G184" s="21" t="s">
        <v>147</v>
      </c>
      <c r="H184" s="13" t="s">
        <v>704</v>
      </c>
    </row>
    <row r="185" customFormat="false" ht="18.75" hidden="false" customHeight="true" outlineLevel="0" collapsed="false">
      <c r="A185" s="17" t="n">
        <v>181</v>
      </c>
      <c r="B185" s="18" t="s">
        <v>435</v>
      </c>
      <c r="C185" s="23" t="s">
        <v>705</v>
      </c>
      <c r="D185" s="18" t="s">
        <v>549</v>
      </c>
      <c r="E185" s="9" t="s">
        <v>38</v>
      </c>
      <c r="F185" s="19" t="n">
        <v>100000</v>
      </c>
      <c r="G185" s="18" t="s">
        <v>147</v>
      </c>
      <c r="H185" s="9" t="s">
        <v>706</v>
      </c>
    </row>
    <row r="186" customFormat="false" ht="18.75" hidden="false" customHeight="true" outlineLevel="0" collapsed="false">
      <c r="A186" s="20" t="n">
        <v>182</v>
      </c>
      <c r="B186" s="21" t="s">
        <v>707</v>
      </c>
      <c r="C186" s="24" t="s">
        <v>705</v>
      </c>
      <c r="D186" s="21" t="s">
        <v>549</v>
      </c>
      <c r="E186" s="13" t="s">
        <v>38</v>
      </c>
      <c r="F186" s="22" t="n">
        <v>15390</v>
      </c>
      <c r="G186" s="21" t="s">
        <v>147</v>
      </c>
      <c r="H186" s="13" t="s">
        <v>708</v>
      </c>
    </row>
    <row r="187" customFormat="false" ht="18.75" hidden="false" customHeight="true" outlineLevel="0" collapsed="false">
      <c r="A187" s="17" t="n">
        <v>183</v>
      </c>
      <c r="B187" s="18" t="s">
        <v>709</v>
      </c>
      <c r="C187" s="23" t="s">
        <v>710</v>
      </c>
      <c r="D187" s="18" t="s">
        <v>549</v>
      </c>
      <c r="E187" s="9" t="s">
        <v>42</v>
      </c>
      <c r="F187" s="19" t="n">
        <v>50000</v>
      </c>
      <c r="G187" s="18" t="s">
        <v>147</v>
      </c>
      <c r="H187" s="9" t="s">
        <v>711</v>
      </c>
    </row>
    <row r="188" customFormat="false" ht="18.75" hidden="false" customHeight="true" outlineLevel="0" collapsed="false">
      <c r="A188" s="20" t="n">
        <v>184</v>
      </c>
      <c r="B188" s="21" t="s">
        <v>712</v>
      </c>
      <c r="C188" s="24" t="s">
        <v>405</v>
      </c>
      <c r="D188" s="21" t="s">
        <v>549</v>
      </c>
      <c r="E188" s="13" t="s">
        <v>38</v>
      </c>
      <c r="F188" s="22" t="n">
        <v>50000</v>
      </c>
      <c r="G188" s="21" t="s">
        <v>147</v>
      </c>
      <c r="H188" s="13" t="s">
        <v>713</v>
      </c>
    </row>
    <row r="189" customFormat="false" ht="18.75" hidden="false" customHeight="true" outlineLevel="0" collapsed="false">
      <c r="A189" s="17" t="n">
        <v>185</v>
      </c>
      <c r="B189" s="18" t="s">
        <v>714</v>
      </c>
      <c r="C189" s="23" t="s">
        <v>407</v>
      </c>
      <c r="D189" s="18" t="s">
        <v>549</v>
      </c>
      <c r="E189" s="9" t="s">
        <v>38</v>
      </c>
      <c r="F189" s="19" t="n">
        <v>25000</v>
      </c>
      <c r="G189" s="18" t="s">
        <v>147</v>
      </c>
      <c r="H189" s="9" t="s">
        <v>706</v>
      </c>
    </row>
    <row r="190" customFormat="false" ht="18.75" hidden="false" customHeight="true" outlineLevel="0" collapsed="false">
      <c r="A190" s="20" t="n">
        <v>186</v>
      </c>
      <c r="B190" s="21" t="s">
        <v>715</v>
      </c>
      <c r="C190" s="24" t="s">
        <v>409</v>
      </c>
      <c r="D190" s="21" t="s">
        <v>549</v>
      </c>
      <c r="E190" s="13" t="s">
        <v>38</v>
      </c>
      <c r="F190" s="22" t="n">
        <v>22000</v>
      </c>
      <c r="G190" s="21" t="s">
        <v>90</v>
      </c>
      <c r="H190" s="13" t="s">
        <v>716</v>
      </c>
    </row>
    <row r="191" customFormat="false" ht="18.75" hidden="false" customHeight="true" outlineLevel="0" collapsed="false">
      <c r="A191" s="17" t="n">
        <v>187</v>
      </c>
      <c r="B191" s="18" t="s">
        <v>717</v>
      </c>
      <c r="C191" s="23" t="s">
        <v>718</v>
      </c>
      <c r="D191" s="18" t="s">
        <v>549</v>
      </c>
      <c r="E191" s="9" t="s">
        <v>38</v>
      </c>
      <c r="F191" s="19" t="n">
        <v>100000</v>
      </c>
      <c r="G191" s="18" t="s">
        <v>719</v>
      </c>
      <c r="H191" s="9" t="s">
        <v>720</v>
      </c>
    </row>
    <row r="192" customFormat="false" ht="18.75" hidden="false" customHeight="true" outlineLevel="0" collapsed="false">
      <c r="A192" s="20" t="n">
        <v>188</v>
      </c>
      <c r="B192" s="21" t="s">
        <v>721</v>
      </c>
      <c r="C192" s="24" t="s">
        <v>722</v>
      </c>
      <c r="D192" s="21" t="s">
        <v>549</v>
      </c>
      <c r="E192" s="13" t="s">
        <v>38</v>
      </c>
      <c r="F192" s="22" t="n">
        <v>60000</v>
      </c>
      <c r="G192" s="21" t="s">
        <v>719</v>
      </c>
      <c r="H192" s="13" t="s">
        <v>723</v>
      </c>
    </row>
    <row r="193" customFormat="false" ht="18.75" hidden="false" customHeight="true" outlineLevel="0" collapsed="false">
      <c r="A193" s="17" t="n">
        <v>189</v>
      </c>
      <c r="B193" s="18" t="s">
        <v>724</v>
      </c>
      <c r="C193" s="23" t="s">
        <v>725</v>
      </c>
      <c r="D193" s="18" t="s">
        <v>549</v>
      </c>
      <c r="E193" s="9" t="s">
        <v>38</v>
      </c>
      <c r="F193" s="19" t="n">
        <v>55000</v>
      </c>
      <c r="G193" s="18" t="s">
        <v>90</v>
      </c>
      <c r="H193" s="9" t="s">
        <v>726</v>
      </c>
    </row>
    <row r="194" customFormat="false" ht="18.75" hidden="false" customHeight="true" outlineLevel="0" collapsed="false">
      <c r="A194" s="20" t="n">
        <v>190</v>
      </c>
      <c r="B194" s="21" t="s">
        <v>727</v>
      </c>
      <c r="C194" s="24" t="s">
        <v>725</v>
      </c>
      <c r="D194" s="21" t="s">
        <v>549</v>
      </c>
      <c r="E194" s="13" t="s">
        <v>42</v>
      </c>
      <c r="F194" s="22" t="n">
        <v>20000</v>
      </c>
      <c r="G194" s="21" t="s">
        <v>147</v>
      </c>
      <c r="H194" s="13"/>
    </row>
    <row r="195" customFormat="false" ht="18.75" hidden="false" customHeight="true" outlineLevel="0" collapsed="false">
      <c r="A195" s="17" t="n">
        <v>191</v>
      </c>
      <c r="B195" s="18" t="s">
        <v>728</v>
      </c>
      <c r="C195" s="23" t="s">
        <v>729</v>
      </c>
      <c r="D195" s="18" t="s">
        <v>549</v>
      </c>
      <c r="E195" s="9" t="s">
        <v>38</v>
      </c>
      <c r="F195" s="19" t="n">
        <v>21500</v>
      </c>
      <c r="G195" s="18" t="s">
        <v>719</v>
      </c>
      <c r="H195" s="9" t="s">
        <v>730</v>
      </c>
    </row>
    <row r="196" customFormat="false" ht="18.75" hidden="false" customHeight="true" outlineLevel="0" collapsed="false">
      <c r="A196" s="20" t="n">
        <v>192</v>
      </c>
      <c r="B196" s="21" t="s">
        <v>731</v>
      </c>
      <c r="C196" s="24" t="s">
        <v>729</v>
      </c>
      <c r="D196" s="21" t="s">
        <v>549</v>
      </c>
      <c r="E196" s="13" t="s">
        <v>38</v>
      </c>
      <c r="F196" s="22" t="n">
        <v>20000</v>
      </c>
      <c r="G196" s="21" t="s">
        <v>90</v>
      </c>
      <c r="H196" s="13" t="s">
        <v>726</v>
      </c>
    </row>
    <row r="197" customFormat="false" ht="18.75" hidden="false" customHeight="true" outlineLevel="0" collapsed="false">
      <c r="A197" s="17" t="n">
        <v>193</v>
      </c>
      <c r="B197" s="18" t="s">
        <v>732</v>
      </c>
      <c r="C197" s="23" t="s">
        <v>733</v>
      </c>
      <c r="D197" s="18" t="s">
        <v>549</v>
      </c>
      <c r="E197" s="9" t="s">
        <v>38</v>
      </c>
      <c r="F197" s="19" t="n">
        <v>100000</v>
      </c>
      <c r="G197" s="18" t="s">
        <v>147</v>
      </c>
      <c r="H197" s="9" t="s">
        <v>734</v>
      </c>
    </row>
    <row r="198" customFormat="false" ht="18.75" hidden="false" customHeight="true" outlineLevel="0" collapsed="false">
      <c r="A198" s="20" t="n">
        <v>194</v>
      </c>
      <c r="B198" s="21" t="s">
        <v>735</v>
      </c>
      <c r="C198" s="24" t="s">
        <v>736</v>
      </c>
      <c r="D198" s="21" t="s">
        <v>549</v>
      </c>
      <c r="E198" s="13" t="s">
        <v>38</v>
      </c>
      <c r="F198" s="22" t="n">
        <v>40500</v>
      </c>
      <c r="G198" s="21" t="s">
        <v>90</v>
      </c>
      <c r="H198" s="13" t="s">
        <v>679</v>
      </c>
    </row>
    <row r="199" customFormat="false" ht="18.75" hidden="false" customHeight="true" outlineLevel="0" collapsed="false">
      <c r="A199" s="17" t="n">
        <v>195</v>
      </c>
      <c r="B199" s="18" t="s">
        <v>737</v>
      </c>
      <c r="C199" s="23" t="s">
        <v>417</v>
      </c>
      <c r="D199" s="18" t="s">
        <v>549</v>
      </c>
      <c r="E199" s="9" t="s">
        <v>38</v>
      </c>
      <c r="F199" s="19" t="n">
        <v>15000</v>
      </c>
      <c r="G199" s="18" t="s">
        <v>90</v>
      </c>
      <c r="H199" s="9" t="s">
        <v>738</v>
      </c>
    </row>
    <row r="200" customFormat="false" ht="18.75" hidden="false" customHeight="true" outlineLevel="0" collapsed="false">
      <c r="A200" s="20" t="n">
        <v>196</v>
      </c>
      <c r="B200" s="21" t="s">
        <v>739</v>
      </c>
      <c r="C200" s="24" t="s">
        <v>421</v>
      </c>
      <c r="D200" s="21" t="s">
        <v>549</v>
      </c>
      <c r="E200" s="13" t="s">
        <v>42</v>
      </c>
      <c r="F200" s="22" t="n">
        <v>54800</v>
      </c>
      <c r="G200" s="21" t="s">
        <v>90</v>
      </c>
      <c r="H200" s="13"/>
    </row>
    <row r="201" customFormat="false" ht="18.75" hidden="false" customHeight="true" outlineLevel="0" collapsed="false">
      <c r="A201" s="17" t="n">
        <v>197</v>
      </c>
      <c r="B201" s="18" t="s">
        <v>740</v>
      </c>
      <c r="C201" s="23" t="s">
        <v>421</v>
      </c>
      <c r="D201" s="18" t="s">
        <v>549</v>
      </c>
      <c r="E201" s="9" t="s">
        <v>46</v>
      </c>
      <c r="F201" s="19" t="n">
        <v>5000</v>
      </c>
      <c r="G201" s="18" t="s">
        <v>147</v>
      </c>
      <c r="H201" s="9"/>
    </row>
    <row r="202" customFormat="false" ht="18.75" hidden="false" customHeight="true" outlineLevel="0" collapsed="false">
      <c r="A202" s="20" t="n">
        <v>198</v>
      </c>
      <c r="B202" s="21" t="s">
        <v>741</v>
      </c>
      <c r="C202" s="24" t="s">
        <v>742</v>
      </c>
      <c r="D202" s="21" t="s">
        <v>549</v>
      </c>
      <c r="E202" s="13" t="s">
        <v>38</v>
      </c>
      <c r="F202" s="22" t="n">
        <v>100000</v>
      </c>
      <c r="G202" s="21" t="s">
        <v>147</v>
      </c>
      <c r="H202" s="13" t="s">
        <v>743</v>
      </c>
    </row>
    <row r="203" customFormat="false" ht="18.75" hidden="false" customHeight="true" outlineLevel="0" collapsed="false">
      <c r="A203" s="17" t="n">
        <v>199</v>
      </c>
      <c r="B203" s="18" t="s">
        <v>744</v>
      </c>
      <c r="C203" s="23" t="s">
        <v>745</v>
      </c>
      <c r="D203" s="18" t="s">
        <v>549</v>
      </c>
      <c r="E203" s="9" t="s">
        <v>38</v>
      </c>
      <c r="F203" s="19" t="n">
        <v>61500</v>
      </c>
      <c r="G203" s="18" t="s">
        <v>147</v>
      </c>
      <c r="H203" s="9" t="s">
        <v>746</v>
      </c>
    </row>
    <row r="204" customFormat="false" ht="18.75" hidden="false" customHeight="true" outlineLevel="0" collapsed="false">
      <c r="A204" s="20" t="n">
        <v>200</v>
      </c>
      <c r="B204" s="21" t="s">
        <v>747</v>
      </c>
      <c r="C204" s="24" t="s">
        <v>745</v>
      </c>
      <c r="D204" s="21" t="s">
        <v>549</v>
      </c>
      <c r="E204" s="13" t="s">
        <v>38</v>
      </c>
      <c r="F204" s="22" t="n">
        <v>17000</v>
      </c>
      <c r="G204" s="21" t="s">
        <v>147</v>
      </c>
      <c r="H204" s="13" t="s">
        <v>748</v>
      </c>
    </row>
    <row r="205" customFormat="false" ht="18.75" hidden="false" customHeight="true" outlineLevel="0" collapsed="false">
      <c r="A205" s="17" t="n">
        <v>201</v>
      </c>
      <c r="B205" s="18" t="s">
        <v>749</v>
      </c>
      <c r="C205" s="23" t="s">
        <v>745</v>
      </c>
      <c r="D205" s="18" t="s">
        <v>549</v>
      </c>
      <c r="E205" s="9" t="s">
        <v>38</v>
      </c>
      <c r="F205" s="19" t="n">
        <v>21500</v>
      </c>
      <c r="G205" s="18" t="s">
        <v>147</v>
      </c>
      <c r="H205" s="9" t="s">
        <v>734</v>
      </c>
    </row>
    <row r="206" customFormat="false" ht="18.75" hidden="false" customHeight="true" outlineLevel="0" collapsed="false">
      <c r="A206" s="20" t="n">
        <v>202</v>
      </c>
      <c r="B206" s="21" t="s">
        <v>750</v>
      </c>
      <c r="C206" s="24" t="s">
        <v>751</v>
      </c>
      <c r="D206" s="21" t="s">
        <v>549</v>
      </c>
      <c r="E206" s="13" t="s">
        <v>42</v>
      </c>
      <c r="F206" s="22" t="n">
        <v>65000</v>
      </c>
      <c r="G206" s="21" t="s">
        <v>147</v>
      </c>
      <c r="H206" s="13"/>
    </row>
    <row r="207" customFormat="false" ht="18.75" hidden="false" customHeight="true" outlineLevel="0" collapsed="false">
      <c r="A207" s="17" t="n">
        <v>203</v>
      </c>
      <c r="B207" s="18" t="s">
        <v>752</v>
      </c>
      <c r="C207" s="23" t="s">
        <v>753</v>
      </c>
      <c r="D207" s="18" t="s">
        <v>549</v>
      </c>
      <c r="E207" s="9" t="s">
        <v>38</v>
      </c>
      <c r="F207" s="19" t="n">
        <v>297319</v>
      </c>
      <c r="G207" s="18" t="s">
        <v>560</v>
      </c>
      <c r="H207" s="9" t="s">
        <v>754</v>
      </c>
    </row>
    <row r="208" customFormat="false" ht="18.75" hidden="false" customHeight="true" outlineLevel="0" collapsed="false">
      <c r="A208" s="20" t="n">
        <v>204</v>
      </c>
      <c r="B208" s="21" t="s">
        <v>755</v>
      </c>
      <c r="C208" s="24" t="s">
        <v>432</v>
      </c>
      <c r="D208" s="21" t="s">
        <v>549</v>
      </c>
      <c r="E208" s="13" t="s">
        <v>38</v>
      </c>
      <c r="F208" s="22" t="n">
        <v>20000</v>
      </c>
      <c r="G208" s="21" t="s">
        <v>90</v>
      </c>
      <c r="H208" s="13" t="s">
        <v>756</v>
      </c>
    </row>
    <row r="209" customFormat="false" ht="18.75" hidden="false" customHeight="true" outlineLevel="0" collapsed="false">
      <c r="A209" s="17" t="n">
        <v>205</v>
      </c>
      <c r="B209" s="18" t="s">
        <v>757</v>
      </c>
      <c r="C209" s="23" t="s">
        <v>436</v>
      </c>
      <c r="D209" s="18" t="s">
        <v>549</v>
      </c>
      <c r="E209" s="9" t="s">
        <v>42</v>
      </c>
      <c r="F209" s="19" t="n">
        <v>26900</v>
      </c>
      <c r="G209" s="18" t="s">
        <v>147</v>
      </c>
      <c r="H209" s="9"/>
    </row>
    <row r="210" customFormat="false" ht="18.75" hidden="false" customHeight="true" outlineLevel="0" collapsed="false">
      <c r="A210" s="20" t="n">
        <v>206</v>
      </c>
      <c r="B210" s="21" t="s">
        <v>758</v>
      </c>
      <c r="C210" s="24" t="s">
        <v>436</v>
      </c>
      <c r="D210" s="21" t="s">
        <v>549</v>
      </c>
      <c r="E210" s="13" t="s">
        <v>38</v>
      </c>
      <c r="F210" s="22" t="n">
        <v>6000</v>
      </c>
      <c r="G210" s="21" t="s">
        <v>147</v>
      </c>
      <c r="H210" s="13" t="s">
        <v>759</v>
      </c>
    </row>
    <row r="211" customFormat="false" ht="18.75" hidden="false" customHeight="true" outlineLevel="0" collapsed="false">
      <c r="A211" s="17" t="n">
        <v>207</v>
      </c>
      <c r="B211" s="18" t="s">
        <v>760</v>
      </c>
      <c r="C211" s="23" t="s">
        <v>761</v>
      </c>
      <c r="D211" s="18" t="s">
        <v>549</v>
      </c>
      <c r="E211" s="9" t="s">
        <v>38</v>
      </c>
      <c r="F211" s="19" t="n">
        <v>75000</v>
      </c>
      <c r="G211" s="18" t="s">
        <v>147</v>
      </c>
      <c r="H211" s="9" t="s">
        <v>762</v>
      </c>
    </row>
    <row r="212" customFormat="false" ht="18.75" hidden="false" customHeight="true" outlineLevel="0" collapsed="false">
      <c r="A212" s="20" t="n">
        <v>208</v>
      </c>
      <c r="B212" s="21" t="s">
        <v>763</v>
      </c>
      <c r="C212" s="24" t="s">
        <v>761</v>
      </c>
      <c r="D212" s="21" t="s">
        <v>549</v>
      </c>
      <c r="E212" s="13" t="s">
        <v>38</v>
      </c>
      <c r="F212" s="22" t="n">
        <v>25000</v>
      </c>
      <c r="G212" s="21" t="s">
        <v>147</v>
      </c>
      <c r="H212" s="13" t="s">
        <v>762</v>
      </c>
    </row>
    <row r="213" customFormat="false" ht="18.75" hidden="false" customHeight="true" outlineLevel="0" collapsed="false">
      <c r="A213" s="17" t="n">
        <v>209</v>
      </c>
      <c r="B213" s="18" t="s">
        <v>764</v>
      </c>
      <c r="C213" s="23" t="s">
        <v>761</v>
      </c>
      <c r="D213" s="18" t="s">
        <v>549</v>
      </c>
      <c r="E213" s="9" t="s">
        <v>38</v>
      </c>
      <c r="F213" s="19" t="n">
        <v>50000</v>
      </c>
      <c r="G213" s="18" t="s">
        <v>147</v>
      </c>
      <c r="H213" s="9" t="s">
        <v>762</v>
      </c>
    </row>
    <row r="214" customFormat="false" ht="18.75" hidden="false" customHeight="true" outlineLevel="0" collapsed="false">
      <c r="A214" s="20" t="n">
        <v>210</v>
      </c>
      <c r="B214" s="21" t="s">
        <v>765</v>
      </c>
      <c r="C214" s="24" t="s">
        <v>761</v>
      </c>
      <c r="D214" s="21" t="s">
        <v>549</v>
      </c>
      <c r="E214" s="13" t="s">
        <v>38</v>
      </c>
      <c r="F214" s="22" t="n">
        <v>15500</v>
      </c>
      <c r="G214" s="21" t="s">
        <v>147</v>
      </c>
      <c r="H214" s="13" t="s">
        <v>762</v>
      </c>
    </row>
    <row r="215" customFormat="false" ht="18.75" hidden="false" customHeight="true" outlineLevel="0" collapsed="false">
      <c r="A215" s="17" t="n">
        <v>211</v>
      </c>
      <c r="B215" s="18" t="s">
        <v>766</v>
      </c>
      <c r="C215" s="23" t="s">
        <v>767</v>
      </c>
      <c r="D215" s="18" t="s">
        <v>549</v>
      </c>
      <c r="E215" s="9" t="s">
        <v>38</v>
      </c>
      <c r="F215" s="19" t="n">
        <v>50000</v>
      </c>
      <c r="G215" s="18" t="s">
        <v>147</v>
      </c>
      <c r="H215" s="9" t="s">
        <v>768</v>
      </c>
    </row>
    <row r="216" customFormat="false" ht="21.75" hidden="false" customHeight="true" outlineLevel="0" collapsed="false">
      <c r="A216" s="25"/>
      <c r="B216" s="25"/>
      <c r="C216" s="25"/>
      <c r="D216" s="25"/>
      <c r="E216" s="26" t="s">
        <v>437</v>
      </c>
      <c r="F216" s="27" t="n">
        <f aca="false">SUM(F5:F215)</f>
        <v>9826476</v>
      </c>
      <c r="G216" s="25"/>
      <c r="H216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3"/>
    <col collapsed="false" customWidth="true" hidden="false" outlineLevel="0" max="2" min="2" style="0" width="57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8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7"/>
    <col collapsed="false" customWidth="true" hidden="false" outlineLevel="0" max="10" min="10" style="0" width="21"/>
  </cols>
  <sheetData>
    <row r="1" customFormat="false" ht="18.55" hidden="false" customHeight="false" outlineLevel="0" collapsed="false">
      <c r="A1" s="1" t="s">
        <v>769</v>
      </c>
    </row>
    <row r="2" customFormat="false" ht="15" hidden="false" customHeight="false" outlineLevel="0" collapsed="false">
      <c r="A2" s="2" t="s">
        <v>770</v>
      </c>
    </row>
    <row r="4" customFormat="false" ht="24" hidden="false" customHeight="true" outlineLevel="0" collapsed="false">
      <c r="A4" s="5" t="s">
        <v>79</v>
      </c>
      <c r="B4" s="5" t="s">
        <v>546</v>
      </c>
      <c r="C4" s="5" t="s">
        <v>771</v>
      </c>
      <c r="D4" s="5" t="s">
        <v>772</v>
      </c>
      <c r="E4" s="5" t="s">
        <v>773</v>
      </c>
      <c r="F4" s="5" t="s">
        <v>774</v>
      </c>
      <c r="G4" s="5" t="s">
        <v>775</v>
      </c>
      <c r="H4" s="5" t="s">
        <v>37</v>
      </c>
      <c r="I4" s="5" t="s">
        <v>35</v>
      </c>
      <c r="J4" s="5" t="s">
        <v>36</v>
      </c>
    </row>
    <row r="5" customFormat="false" ht="18.75" hidden="false" customHeight="true" outlineLevel="0" collapsed="false">
      <c r="A5" s="17" t="n">
        <v>1</v>
      </c>
      <c r="B5" s="9" t="s">
        <v>38</v>
      </c>
      <c r="C5" s="18" t="s">
        <v>776</v>
      </c>
      <c r="D5" s="18" t="s">
        <v>39</v>
      </c>
      <c r="E5" s="9" t="s">
        <v>39</v>
      </c>
      <c r="F5" s="18" t="s">
        <v>777</v>
      </c>
      <c r="G5" s="18" t="s">
        <v>39</v>
      </c>
      <c r="H5" s="19" t="n">
        <v>894263.76</v>
      </c>
      <c r="I5" s="17" t="n">
        <v>77</v>
      </c>
      <c r="J5" s="19" t="n">
        <v>8996661.76</v>
      </c>
    </row>
    <row r="6" customFormat="false" ht="18.75" hidden="false" customHeight="true" outlineLevel="0" collapsed="false">
      <c r="A6" s="20" t="n">
        <v>2</v>
      </c>
      <c r="B6" s="13" t="s">
        <v>40</v>
      </c>
      <c r="C6" s="21" t="s">
        <v>776</v>
      </c>
      <c r="D6" s="21" t="s">
        <v>41</v>
      </c>
      <c r="E6" s="13" t="s">
        <v>778</v>
      </c>
      <c r="F6" s="21" t="s">
        <v>777</v>
      </c>
      <c r="G6" s="21" t="s">
        <v>779</v>
      </c>
      <c r="H6" s="22" t="n">
        <v>2033948.27</v>
      </c>
      <c r="I6" s="20" t="n">
        <v>22</v>
      </c>
      <c r="J6" s="22" t="n">
        <v>2033948.27</v>
      </c>
    </row>
    <row r="7" customFormat="false" ht="18.75" hidden="false" customHeight="true" outlineLevel="0" collapsed="false">
      <c r="A7" s="17" t="n">
        <v>3</v>
      </c>
      <c r="B7" s="9" t="s">
        <v>42</v>
      </c>
      <c r="C7" s="18" t="s">
        <v>776</v>
      </c>
      <c r="D7" s="18" t="s">
        <v>43</v>
      </c>
      <c r="E7" s="9" t="s">
        <v>39</v>
      </c>
      <c r="F7" s="18" t="s">
        <v>777</v>
      </c>
      <c r="G7" s="18" t="s">
        <v>39</v>
      </c>
      <c r="H7" s="19" t="n">
        <v>33984.51</v>
      </c>
      <c r="I7" s="17" t="n">
        <v>23</v>
      </c>
      <c r="J7" s="19" t="n">
        <v>1133442.51</v>
      </c>
    </row>
    <row r="8" customFormat="false" ht="18.75" hidden="false" customHeight="true" outlineLevel="0" collapsed="false">
      <c r="A8" s="20" t="n">
        <v>4</v>
      </c>
      <c r="B8" s="13" t="s">
        <v>44</v>
      </c>
      <c r="C8" s="21" t="s">
        <v>776</v>
      </c>
      <c r="D8" s="21" t="s">
        <v>45</v>
      </c>
      <c r="E8" s="13" t="s">
        <v>39</v>
      </c>
      <c r="F8" s="21" t="s">
        <v>777</v>
      </c>
      <c r="G8" s="21" t="s">
        <v>39</v>
      </c>
      <c r="H8" s="22" t="n">
        <v>1034409.03</v>
      </c>
      <c r="I8" s="20" t="n">
        <v>18</v>
      </c>
      <c r="J8" s="22" t="n">
        <v>1092723.03</v>
      </c>
    </row>
    <row r="9" customFormat="false" ht="18.75" hidden="false" customHeight="true" outlineLevel="0" collapsed="false">
      <c r="A9" s="17" t="n">
        <v>5</v>
      </c>
      <c r="B9" s="9" t="s">
        <v>46</v>
      </c>
      <c r="C9" s="18" t="s">
        <v>776</v>
      </c>
      <c r="D9" s="18" t="s">
        <v>47</v>
      </c>
      <c r="E9" s="9" t="s">
        <v>39</v>
      </c>
      <c r="F9" s="18" t="s">
        <v>777</v>
      </c>
      <c r="G9" s="18" t="s">
        <v>39</v>
      </c>
      <c r="H9" s="19" t="n">
        <v>8978.94</v>
      </c>
      <c r="I9" s="17" t="n">
        <v>11</v>
      </c>
      <c r="J9" s="19" t="n">
        <v>543978.94</v>
      </c>
    </row>
    <row r="10" customFormat="false" ht="18.75" hidden="false" customHeight="true" outlineLevel="0" collapsed="false">
      <c r="A10" s="20" t="n">
        <v>6</v>
      </c>
      <c r="B10" s="13" t="s">
        <v>48</v>
      </c>
      <c r="C10" s="21" t="s">
        <v>776</v>
      </c>
      <c r="D10" s="21" t="s">
        <v>49</v>
      </c>
      <c r="E10" s="13" t="s">
        <v>39</v>
      </c>
      <c r="F10" s="21" t="s">
        <v>777</v>
      </c>
      <c r="G10" s="21" t="s">
        <v>39</v>
      </c>
      <c r="H10" s="22" t="n">
        <v>136400</v>
      </c>
      <c r="I10" s="20" t="n">
        <v>2</v>
      </c>
      <c r="J10" s="22" t="n">
        <v>220400</v>
      </c>
    </row>
    <row r="11" customFormat="false" ht="18.75" hidden="false" customHeight="true" outlineLevel="0" collapsed="false">
      <c r="A11" s="17" t="n">
        <v>7</v>
      </c>
      <c r="B11" s="9" t="s">
        <v>50</v>
      </c>
      <c r="C11" s="18" t="s">
        <v>776</v>
      </c>
      <c r="D11" s="18" t="s">
        <v>51</v>
      </c>
      <c r="E11" s="9" t="s">
        <v>39</v>
      </c>
      <c r="F11" s="18" t="s">
        <v>777</v>
      </c>
      <c r="G11" s="18" t="s">
        <v>39</v>
      </c>
      <c r="H11" s="19" t="n">
        <v>50000</v>
      </c>
      <c r="I11" s="17" t="n">
        <v>1</v>
      </c>
      <c r="J11" s="19" t="n">
        <v>123000</v>
      </c>
    </row>
    <row r="12" customFormat="false" ht="18.75" hidden="false" customHeight="true" outlineLevel="0" collapsed="false">
      <c r="A12" s="20" t="n">
        <v>8</v>
      </c>
      <c r="B12" s="13" t="s">
        <v>52</v>
      </c>
      <c r="C12" s="21" t="s">
        <v>776</v>
      </c>
      <c r="D12" s="21" t="s">
        <v>53</v>
      </c>
      <c r="E12" s="13" t="s">
        <v>780</v>
      </c>
      <c r="F12" s="21" t="s">
        <v>777</v>
      </c>
      <c r="G12" s="21" t="s">
        <v>781</v>
      </c>
      <c r="H12" s="22" t="n">
        <v>0</v>
      </c>
      <c r="I12" s="20" t="n">
        <v>1</v>
      </c>
      <c r="J12" s="22" t="n">
        <v>120055</v>
      </c>
    </row>
    <row r="13" customFormat="false" ht="18.75" hidden="false" customHeight="true" outlineLevel="0" collapsed="false">
      <c r="A13" s="17" t="n">
        <v>9</v>
      </c>
      <c r="B13" s="9" t="s">
        <v>54</v>
      </c>
      <c r="C13" s="18" t="s">
        <v>776</v>
      </c>
      <c r="D13" s="18" t="s">
        <v>55</v>
      </c>
      <c r="E13" s="9" t="s">
        <v>39</v>
      </c>
      <c r="F13" s="18" t="s">
        <v>777</v>
      </c>
      <c r="G13" s="18" t="s">
        <v>39</v>
      </c>
      <c r="H13" s="19" t="n">
        <v>63490</v>
      </c>
      <c r="I13" s="17" t="n">
        <v>1</v>
      </c>
      <c r="J13" s="19" t="n">
        <v>113490</v>
      </c>
    </row>
    <row r="14" customFormat="false" ht="18.75" hidden="false" customHeight="true" outlineLevel="0" collapsed="false">
      <c r="A14" s="20" t="n">
        <v>10</v>
      </c>
      <c r="B14" s="13" t="s">
        <v>56</v>
      </c>
      <c r="C14" s="21" t="s">
        <v>776</v>
      </c>
      <c r="D14" s="21" t="s">
        <v>57</v>
      </c>
      <c r="E14" s="13" t="s">
        <v>782</v>
      </c>
      <c r="F14" s="21" t="s">
        <v>777</v>
      </c>
      <c r="G14" s="21" t="s">
        <v>783</v>
      </c>
      <c r="H14" s="22" t="n">
        <v>21000</v>
      </c>
      <c r="I14" s="20" t="n">
        <v>3</v>
      </c>
      <c r="J14" s="22" t="n">
        <v>101640</v>
      </c>
    </row>
    <row r="15" customFormat="false" ht="18.75" hidden="false" customHeight="true" outlineLevel="0" collapsed="false">
      <c r="A15" s="17" t="n">
        <v>11</v>
      </c>
      <c r="B15" s="9" t="s">
        <v>116</v>
      </c>
      <c r="C15" s="18" t="s">
        <v>776</v>
      </c>
      <c r="D15" s="18" t="s">
        <v>784</v>
      </c>
      <c r="E15" s="9" t="s">
        <v>39</v>
      </c>
      <c r="F15" s="18" t="s">
        <v>777</v>
      </c>
      <c r="G15" s="18" t="s">
        <v>39</v>
      </c>
      <c r="H15" s="19" t="n">
        <v>50000</v>
      </c>
      <c r="I15" s="17" t="n">
        <v>1</v>
      </c>
      <c r="J15" s="19" t="n">
        <v>100000</v>
      </c>
    </row>
    <row r="16" customFormat="false" ht="18.75" hidden="false" customHeight="true" outlineLevel="0" collapsed="false">
      <c r="A16" s="20" t="n">
        <v>12</v>
      </c>
      <c r="B16" s="13" t="s">
        <v>118</v>
      </c>
      <c r="C16" s="21" t="s">
        <v>776</v>
      </c>
      <c r="D16" s="21" t="s">
        <v>785</v>
      </c>
      <c r="E16" s="13" t="s">
        <v>39</v>
      </c>
      <c r="F16" s="21" t="s">
        <v>777</v>
      </c>
      <c r="G16" s="21" t="s">
        <v>39</v>
      </c>
      <c r="H16" s="22" t="n">
        <v>10000</v>
      </c>
      <c r="I16" s="20" t="n">
        <v>1</v>
      </c>
      <c r="J16" s="22" t="n">
        <v>100000</v>
      </c>
    </row>
    <row r="17" customFormat="false" ht="18.75" hidden="false" customHeight="true" outlineLevel="0" collapsed="false">
      <c r="A17" s="17" t="n">
        <v>13</v>
      </c>
      <c r="B17" s="9" t="s">
        <v>124</v>
      </c>
      <c r="C17" s="18" t="s">
        <v>776</v>
      </c>
      <c r="D17" s="18" t="s">
        <v>786</v>
      </c>
      <c r="E17" s="9" t="s">
        <v>39</v>
      </c>
      <c r="F17" s="18" t="s">
        <v>777</v>
      </c>
      <c r="G17" s="18" t="s">
        <v>39</v>
      </c>
      <c r="H17" s="19" t="n">
        <v>0</v>
      </c>
      <c r="I17" s="17" t="n">
        <v>1</v>
      </c>
      <c r="J17" s="19" t="n">
        <v>84000</v>
      </c>
    </row>
    <row r="18" customFormat="false" ht="18.75" hidden="false" customHeight="true" outlineLevel="0" collapsed="false">
      <c r="A18" s="20" t="n">
        <v>14</v>
      </c>
      <c r="B18" s="13" t="s">
        <v>281</v>
      </c>
      <c r="C18" s="21" t="s">
        <v>776</v>
      </c>
      <c r="D18" s="21" t="s">
        <v>787</v>
      </c>
      <c r="E18" s="13" t="s">
        <v>788</v>
      </c>
      <c r="F18" s="21" t="s">
        <v>777</v>
      </c>
      <c r="G18" s="21" t="s">
        <v>789</v>
      </c>
      <c r="H18" s="22" t="n">
        <v>82010</v>
      </c>
      <c r="I18" s="20" t="n">
        <v>1</v>
      </c>
      <c r="J18" s="22" t="n">
        <v>82010</v>
      </c>
    </row>
    <row r="19" customFormat="false" ht="18.75" hidden="false" customHeight="true" outlineLevel="0" collapsed="false">
      <c r="A19" s="17" t="n">
        <v>15</v>
      </c>
      <c r="B19" s="9" t="s">
        <v>96</v>
      </c>
      <c r="C19" s="18" t="s">
        <v>776</v>
      </c>
      <c r="D19" s="18" t="s">
        <v>790</v>
      </c>
      <c r="E19" s="9" t="s">
        <v>39</v>
      </c>
      <c r="F19" s="18" t="s">
        <v>777</v>
      </c>
      <c r="G19" s="18" t="s">
        <v>39</v>
      </c>
      <c r="H19" s="19" t="n">
        <v>76512</v>
      </c>
      <c r="I19" s="17" t="n">
        <v>2</v>
      </c>
      <c r="J19" s="19" t="n">
        <v>76512</v>
      </c>
    </row>
    <row r="20" customFormat="false" ht="18.75" hidden="false" customHeight="true" outlineLevel="0" collapsed="false">
      <c r="A20" s="20" t="n">
        <v>16</v>
      </c>
      <c r="B20" s="13" t="s">
        <v>110</v>
      </c>
      <c r="C20" s="21" t="s">
        <v>776</v>
      </c>
      <c r="D20" s="21" t="s">
        <v>791</v>
      </c>
      <c r="E20" s="13" t="s">
        <v>39</v>
      </c>
      <c r="F20" s="21" t="s">
        <v>777</v>
      </c>
      <c r="G20" s="21" t="s">
        <v>39</v>
      </c>
      <c r="H20" s="22" t="n">
        <v>0</v>
      </c>
      <c r="I20" s="20" t="n">
        <v>1</v>
      </c>
      <c r="J20" s="22" t="n">
        <v>65500</v>
      </c>
    </row>
    <row r="21" customFormat="false" ht="18.75" hidden="false" customHeight="true" outlineLevel="0" collapsed="false">
      <c r="A21" s="17" t="n">
        <v>17</v>
      </c>
      <c r="B21" s="9" t="s">
        <v>121</v>
      </c>
      <c r="C21" s="18" t="s">
        <v>776</v>
      </c>
      <c r="D21" s="18" t="s">
        <v>792</v>
      </c>
      <c r="E21" s="9" t="s">
        <v>39</v>
      </c>
      <c r="F21" s="18" t="s">
        <v>777</v>
      </c>
      <c r="G21" s="18" t="s">
        <v>39</v>
      </c>
      <c r="H21" s="19" t="n">
        <v>22500</v>
      </c>
      <c r="I21" s="17" t="n">
        <v>2</v>
      </c>
      <c r="J21" s="19" t="n">
        <v>59500</v>
      </c>
    </row>
    <row r="22" customFormat="false" ht="18.75" hidden="false" customHeight="true" outlineLevel="0" collapsed="false">
      <c r="A22" s="20" t="n">
        <v>18</v>
      </c>
      <c r="B22" s="13" t="s">
        <v>209</v>
      </c>
      <c r="C22" s="21" t="s">
        <v>776</v>
      </c>
      <c r="D22" s="21" t="s">
        <v>39</v>
      </c>
      <c r="E22" s="13" t="s">
        <v>39</v>
      </c>
      <c r="F22" s="21" t="s">
        <v>777</v>
      </c>
      <c r="G22" s="21" t="s">
        <v>39</v>
      </c>
      <c r="H22" s="22" t="n">
        <v>0</v>
      </c>
      <c r="I22" s="20" t="n">
        <v>1</v>
      </c>
      <c r="J22" s="22" t="n">
        <v>48000</v>
      </c>
    </row>
    <row r="23" customFormat="false" ht="18.75" hidden="false" customHeight="true" outlineLevel="0" collapsed="false">
      <c r="A23" s="17" t="n">
        <v>19</v>
      </c>
      <c r="B23" s="9" t="s">
        <v>183</v>
      </c>
      <c r="C23" s="18" t="s">
        <v>776</v>
      </c>
      <c r="D23" s="18" t="s">
        <v>793</v>
      </c>
      <c r="E23" s="9" t="s">
        <v>39</v>
      </c>
      <c r="F23" s="18" t="s">
        <v>777</v>
      </c>
      <c r="G23" s="18" t="s">
        <v>39</v>
      </c>
      <c r="H23" s="19" t="n">
        <v>12000</v>
      </c>
      <c r="I23" s="17" t="n">
        <v>1</v>
      </c>
      <c r="J23" s="19" t="n">
        <v>47000</v>
      </c>
    </row>
    <row r="24" customFormat="false" ht="18.75" hidden="false" customHeight="true" outlineLevel="0" collapsed="false">
      <c r="A24" s="20" t="n">
        <v>20</v>
      </c>
      <c r="B24" s="13" t="s">
        <v>107</v>
      </c>
      <c r="C24" s="21" t="s">
        <v>776</v>
      </c>
      <c r="D24" s="21" t="s">
        <v>794</v>
      </c>
      <c r="E24" s="13" t="s">
        <v>39</v>
      </c>
      <c r="F24" s="21" t="s">
        <v>777</v>
      </c>
      <c r="G24" s="21" t="s">
        <v>39</v>
      </c>
      <c r="H24" s="22" t="n">
        <v>21600</v>
      </c>
      <c r="I24" s="20" t="n">
        <v>1</v>
      </c>
      <c r="J24" s="22" t="n">
        <v>45600</v>
      </c>
    </row>
    <row r="25" customFormat="false" ht="18.75" hidden="false" customHeight="true" outlineLevel="0" collapsed="false">
      <c r="A25" s="17" t="n">
        <v>21</v>
      </c>
      <c r="B25" s="9" t="s">
        <v>354</v>
      </c>
      <c r="C25" s="18" t="s">
        <v>776</v>
      </c>
      <c r="D25" s="18" t="s">
        <v>795</v>
      </c>
      <c r="E25" s="9" t="s">
        <v>39</v>
      </c>
      <c r="F25" s="18" t="s">
        <v>777</v>
      </c>
      <c r="G25" s="18" t="s">
        <v>39</v>
      </c>
      <c r="H25" s="19" t="n">
        <v>36000</v>
      </c>
      <c r="I25" s="17" t="n">
        <v>1</v>
      </c>
      <c r="J25" s="19" t="n">
        <v>36000</v>
      </c>
    </row>
    <row r="26" customFormat="false" ht="18.75" hidden="false" customHeight="true" outlineLevel="0" collapsed="false">
      <c r="A26" s="20" t="n">
        <v>22</v>
      </c>
      <c r="B26" s="13" t="s">
        <v>99</v>
      </c>
      <c r="C26" s="21" t="s">
        <v>776</v>
      </c>
      <c r="D26" s="21" t="s">
        <v>796</v>
      </c>
      <c r="E26" s="13" t="s">
        <v>39</v>
      </c>
      <c r="F26" s="21" t="s">
        <v>777</v>
      </c>
      <c r="G26" s="21" t="s">
        <v>39</v>
      </c>
      <c r="H26" s="22" t="n">
        <v>34000</v>
      </c>
      <c r="I26" s="20" t="n">
        <v>1</v>
      </c>
      <c r="J26" s="22" t="n">
        <v>36000</v>
      </c>
    </row>
    <row r="27" customFormat="false" ht="18.75" hidden="false" customHeight="true" outlineLevel="0" collapsed="false">
      <c r="A27" s="17" t="n">
        <v>23</v>
      </c>
      <c r="B27" s="9" t="s">
        <v>233</v>
      </c>
      <c r="C27" s="18" t="s">
        <v>776</v>
      </c>
      <c r="D27" s="18" t="s">
        <v>797</v>
      </c>
      <c r="E27" s="9" t="s">
        <v>39</v>
      </c>
      <c r="F27" s="18" t="s">
        <v>777</v>
      </c>
      <c r="G27" s="18" t="s">
        <v>39</v>
      </c>
      <c r="H27" s="19" t="n">
        <v>3060</v>
      </c>
      <c r="I27" s="17" t="n">
        <v>3</v>
      </c>
      <c r="J27" s="19" t="n">
        <v>18060</v>
      </c>
    </row>
    <row r="28" customFormat="false" ht="18.75" hidden="false" customHeight="true" outlineLevel="0" collapsed="false">
      <c r="A28" s="20" t="n">
        <v>24</v>
      </c>
      <c r="B28" s="13" t="s">
        <v>94</v>
      </c>
      <c r="C28" s="21" t="s">
        <v>776</v>
      </c>
      <c r="D28" s="21" t="s">
        <v>798</v>
      </c>
      <c r="E28" s="13" t="s">
        <v>39</v>
      </c>
      <c r="F28" s="21" t="s">
        <v>777</v>
      </c>
      <c r="G28" s="21" t="s">
        <v>39</v>
      </c>
      <c r="H28" s="22" t="n">
        <v>15709.5</v>
      </c>
      <c r="I28" s="20" t="n">
        <v>1</v>
      </c>
      <c r="J28" s="22" t="n">
        <v>15709.5</v>
      </c>
    </row>
    <row r="29" customFormat="false" ht="18.75" hidden="false" customHeight="true" outlineLevel="0" collapsed="false">
      <c r="A29" s="17" t="n">
        <v>25</v>
      </c>
      <c r="B29" s="9" t="s">
        <v>308</v>
      </c>
      <c r="C29" s="18" t="s">
        <v>776</v>
      </c>
      <c r="D29" s="18" t="s">
        <v>799</v>
      </c>
      <c r="E29" s="9" t="s">
        <v>800</v>
      </c>
      <c r="F29" s="18" t="s">
        <v>777</v>
      </c>
      <c r="G29" s="18" t="s">
        <v>801</v>
      </c>
      <c r="H29" s="19" t="n">
        <v>10600</v>
      </c>
      <c r="I29" s="17" t="n">
        <v>1</v>
      </c>
      <c r="J29" s="19" t="n">
        <v>10600</v>
      </c>
    </row>
    <row r="30" customFormat="false" ht="18.75" hidden="false" customHeight="true" outlineLevel="0" collapsed="false">
      <c r="A30" s="20" t="n">
        <v>26</v>
      </c>
      <c r="B30" s="13" t="s">
        <v>555</v>
      </c>
      <c r="C30" s="21" t="s">
        <v>776</v>
      </c>
      <c r="D30" s="21" t="s">
        <v>787</v>
      </c>
      <c r="E30" s="13" t="s">
        <v>39</v>
      </c>
      <c r="F30" s="21" t="s">
        <v>777</v>
      </c>
      <c r="G30" s="21" t="s">
        <v>39</v>
      </c>
      <c r="H30" s="22" t="n">
        <v>250000</v>
      </c>
      <c r="I30" s="20" t="n">
        <v>0</v>
      </c>
      <c r="J30" s="22" t="n">
        <v>0</v>
      </c>
    </row>
    <row r="31" customFormat="false" ht="18.75" hidden="false" customHeight="true" outlineLevel="0" collapsed="false">
      <c r="A31" s="17" t="n">
        <v>27</v>
      </c>
      <c r="B31" s="9" t="s">
        <v>802</v>
      </c>
      <c r="C31" s="18" t="s">
        <v>803</v>
      </c>
      <c r="D31" s="18" t="s">
        <v>39</v>
      </c>
      <c r="E31" s="9" t="s">
        <v>39</v>
      </c>
      <c r="F31" s="18" t="s">
        <v>777</v>
      </c>
      <c r="G31" s="18" t="s">
        <v>39</v>
      </c>
      <c r="H31" s="19" t="n">
        <v>0</v>
      </c>
      <c r="I31" s="17" t="n">
        <v>0</v>
      </c>
      <c r="J31" s="19" t="n">
        <v>0</v>
      </c>
    </row>
    <row r="32" customFormat="false" ht="18.75" hidden="false" customHeight="true" outlineLevel="0" collapsed="false">
      <c r="A32" s="20" t="n">
        <v>28</v>
      </c>
      <c r="B32" s="13" t="s">
        <v>804</v>
      </c>
      <c r="C32" s="21" t="s">
        <v>803</v>
      </c>
      <c r="D32" s="21" t="s">
        <v>39</v>
      </c>
      <c r="E32" s="13" t="s">
        <v>39</v>
      </c>
      <c r="F32" s="21" t="s">
        <v>777</v>
      </c>
      <c r="G32" s="21" t="s">
        <v>39</v>
      </c>
      <c r="H32" s="22" t="n">
        <v>0</v>
      </c>
      <c r="I32" s="20" t="n">
        <v>0</v>
      </c>
      <c r="J32" s="22" t="n">
        <v>0</v>
      </c>
    </row>
    <row r="33" customFormat="false" ht="18.75" hidden="false" customHeight="true" outlineLevel="0" collapsed="false">
      <c r="A33" s="17" t="n">
        <v>29</v>
      </c>
      <c r="B33" s="9" t="s">
        <v>805</v>
      </c>
      <c r="C33" s="18" t="s">
        <v>803</v>
      </c>
      <c r="D33" s="18" t="s">
        <v>39</v>
      </c>
      <c r="E33" s="9" t="s">
        <v>39</v>
      </c>
      <c r="F33" s="18" t="s">
        <v>777</v>
      </c>
      <c r="G33" s="18" t="s">
        <v>39</v>
      </c>
      <c r="H33" s="19" t="n">
        <v>0</v>
      </c>
      <c r="I33" s="17" t="n">
        <v>0</v>
      </c>
      <c r="J33" s="19" t="n">
        <v>0</v>
      </c>
    </row>
    <row r="34" customFormat="false" ht="18.75" hidden="false" customHeight="true" outlineLevel="0" collapsed="false">
      <c r="A34" s="20" t="n">
        <v>30</v>
      </c>
      <c r="B34" s="13" t="s">
        <v>806</v>
      </c>
      <c r="C34" s="21" t="s">
        <v>803</v>
      </c>
      <c r="D34" s="21" t="s">
        <v>39</v>
      </c>
      <c r="E34" s="13" t="s">
        <v>39</v>
      </c>
      <c r="F34" s="21" t="s">
        <v>777</v>
      </c>
      <c r="G34" s="21" t="s">
        <v>39</v>
      </c>
      <c r="H34" s="22" t="n">
        <v>0</v>
      </c>
      <c r="I34" s="20" t="n">
        <v>0</v>
      </c>
      <c r="J34" s="22" t="n">
        <v>0</v>
      </c>
    </row>
    <row r="35" customFormat="false" ht="18.75" hidden="false" customHeight="true" outlineLevel="0" collapsed="false">
      <c r="A35" s="17" t="n">
        <v>31</v>
      </c>
      <c r="B35" s="9" t="s">
        <v>807</v>
      </c>
      <c r="C35" s="18" t="s">
        <v>803</v>
      </c>
      <c r="D35" s="18" t="s">
        <v>39</v>
      </c>
      <c r="E35" s="9" t="s">
        <v>39</v>
      </c>
      <c r="F35" s="18" t="s">
        <v>777</v>
      </c>
      <c r="G35" s="18" t="s">
        <v>39</v>
      </c>
      <c r="H35" s="19" t="n">
        <v>0</v>
      </c>
      <c r="I35" s="17" t="n">
        <v>0</v>
      </c>
      <c r="J35" s="19" t="n">
        <v>0</v>
      </c>
    </row>
    <row r="36" customFormat="false" ht="18.75" hidden="false" customHeight="true" outlineLevel="0" collapsed="false">
      <c r="A36" s="20" t="n">
        <v>32</v>
      </c>
      <c r="B36" s="13" t="s">
        <v>808</v>
      </c>
      <c r="C36" s="21" t="s">
        <v>776</v>
      </c>
      <c r="D36" s="21" t="s">
        <v>39</v>
      </c>
      <c r="E36" s="13" t="s">
        <v>39</v>
      </c>
      <c r="F36" s="21" t="s">
        <v>777</v>
      </c>
      <c r="G36" s="21" t="s">
        <v>39</v>
      </c>
      <c r="H36" s="22" t="n">
        <v>0</v>
      </c>
      <c r="I36" s="20" t="n">
        <v>0</v>
      </c>
      <c r="J36" s="22" t="n">
        <v>0</v>
      </c>
    </row>
    <row r="37" customFormat="false" ht="18.75" hidden="false" customHeight="true" outlineLevel="0" collapsed="false">
      <c r="A37" s="17" t="n">
        <v>33</v>
      </c>
      <c r="B37" s="9" t="s">
        <v>706</v>
      </c>
      <c r="C37" s="18" t="s">
        <v>776</v>
      </c>
      <c r="D37" s="18" t="s">
        <v>39</v>
      </c>
      <c r="E37" s="9" t="s">
        <v>39</v>
      </c>
      <c r="F37" s="18" t="s">
        <v>777</v>
      </c>
      <c r="G37" s="18" t="s">
        <v>39</v>
      </c>
      <c r="H37" s="19" t="n">
        <v>0</v>
      </c>
      <c r="I37" s="17" t="n">
        <v>0</v>
      </c>
      <c r="J37" s="19" t="n">
        <v>0</v>
      </c>
    </row>
    <row r="38" customFormat="false" ht="18.75" hidden="false" customHeight="true" outlineLevel="0" collapsed="false">
      <c r="A38" s="20" t="n">
        <v>34</v>
      </c>
      <c r="B38" s="13" t="s">
        <v>809</v>
      </c>
      <c r="C38" s="21" t="s">
        <v>776</v>
      </c>
      <c r="D38" s="21" t="s">
        <v>39</v>
      </c>
      <c r="E38" s="13" t="s">
        <v>39</v>
      </c>
      <c r="F38" s="21" t="s">
        <v>777</v>
      </c>
      <c r="G38" s="21" t="s">
        <v>39</v>
      </c>
      <c r="H38" s="22" t="n">
        <v>0</v>
      </c>
      <c r="I38" s="20" t="n">
        <v>0</v>
      </c>
      <c r="J38" s="22" t="n">
        <v>0</v>
      </c>
    </row>
    <row r="39" customFormat="false" ht="18.75" hidden="false" customHeight="true" outlineLevel="0" collapsed="false">
      <c r="A39" s="17" t="n">
        <v>35</v>
      </c>
      <c r="B39" s="9" t="s">
        <v>810</v>
      </c>
      <c r="C39" s="18" t="s">
        <v>776</v>
      </c>
      <c r="D39" s="18" t="s">
        <v>39</v>
      </c>
      <c r="E39" s="9" t="s">
        <v>39</v>
      </c>
      <c r="F39" s="18" t="s">
        <v>777</v>
      </c>
      <c r="G39" s="18" t="s">
        <v>39</v>
      </c>
      <c r="H39" s="19" t="n">
        <v>0</v>
      </c>
      <c r="I39" s="17" t="n">
        <v>0</v>
      </c>
      <c r="J39" s="19" t="n">
        <v>0</v>
      </c>
    </row>
    <row r="40" customFormat="false" ht="18.75" hidden="false" customHeight="true" outlineLevel="0" collapsed="false">
      <c r="A40" s="20" t="n">
        <v>36</v>
      </c>
      <c r="B40" s="13" t="s">
        <v>811</v>
      </c>
      <c r="C40" s="21" t="s">
        <v>776</v>
      </c>
      <c r="D40" s="21" t="s">
        <v>812</v>
      </c>
      <c r="E40" s="13" t="s">
        <v>39</v>
      </c>
      <c r="F40" s="21" t="s">
        <v>777</v>
      </c>
      <c r="G40" s="21" t="s">
        <v>39</v>
      </c>
      <c r="H40" s="22" t="n">
        <v>0</v>
      </c>
      <c r="I40" s="20" t="n">
        <v>0</v>
      </c>
      <c r="J40" s="22" t="n">
        <v>0</v>
      </c>
    </row>
    <row r="41" customFormat="false" ht="18.75" hidden="false" customHeight="true" outlineLevel="0" collapsed="false">
      <c r="A41" s="17" t="n">
        <v>37</v>
      </c>
      <c r="B41" s="9" t="s">
        <v>551</v>
      </c>
      <c r="C41" s="18" t="s">
        <v>776</v>
      </c>
      <c r="D41" s="18" t="s">
        <v>813</v>
      </c>
      <c r="E41" s="9" t="s">
        <v>39</v>
      </c>
      <c r="F41" s="18" t="s">
        <v>777</v>
      </c>
      <c r="G41" s="18" t="s">
        <v>39</v>
      </c>
      <c r="H41" s="19" t="n">
        <v>-25000</v>
      </c>
      <c r="I41" s="17" t="n">
        <v>0</v>
      </c>
      <c r="J41" s="19" t="n">
        <v>0</v>
      </c>
    </row>
    <row r="42" customFormat="false" ht="21.75" hidden="false" customHeight="true" outlineLevel="0" collapsed="false">
      <c r="A42" s="25"/>
      <c r="B42" s="25"/>
      <c r="C42" s="25"/>
      <c r="D42" s="25"/>
      <c r="E42" s="25"/>
      <c r="F42" s="25"/>
      <c r="G42" s="26" t="s">
        <v>437</v>
      </c>
      <c r="H42" s="27" t="n">
        <f aca="false">SUM(H5:H41)</f>
        <v>4875466.01</v>
      </c>
      <c r="I42" s="28" t="n">
        <f aca="false">SUM(I5:I41)</f>
        <v>178</v>
      </c>
      <c r="J42" s="27" t="n">
        <f aca="false">SUM(J5:J41)</f>
        <v>15303831.01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12"/>
    <col collapsed="false" customWidth="true" hidden="false" outlineLevel="0" max="3" min="3" style="0" width="41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21"/>
    <col collapsed="false" customWidth="true" hidden="false" outlineLevel="0" max="8" min="8" style="0" width="17"/>
    <col collapsed="false" customWidth="true" hidden="false" outlineLevel="0" max="9" min="9" style="0" width="18"/>
    <col collapsed="false" customWidth="true" hidden="false" outlineLevel="0" max="10" min="10" style="0" width="10"/>
  </cols>
  <sheetData>
    <row r="1" customFormat="false" ht="18.55" hidden="false" customHeight="false" outlineLevel="0" collapsed="false">
      <c r="A1" s="1" t="s">
        <v>814</v>
      </c>
    </row>
    <row r="2" customFormat="false" ht="15" hidden="false" customHeight="false" outlineLevel="0" collapsed="false">
      <c r="A2" s="2" t="s">
        <v>815</v>
      </c>
    </row>
    <row r="4" customFormat="false" ht="24" hidden="false" customHeight="true" outlineLevel="0" collapsed="false">
      <c r="A4" s="5" t="s">
        <v>79</v>
      </c>
      <c r="B4" s="5" t="s">
        <v>816</v>
      </c>
      <c r="C4" s="5" t="s">
        <v>441</v>
      </c>
      <c r="D4" s="5" t="s">
        <v>60</v>
      </c>
      <c r="E4" s="5" t="s">
        <v>62</v>
      </c>
      <c r="F4" s="5" t="s">
        <v>817</v>
      </c>
      <c r="G4" s="5" t="s">
        <v>818</v>
      </c>
      <c r="H4" s="5" t="s">
        <v>819</v>
      </c>
      <c r="I4" s="5" t="s">
        <v>820</v>
      </c>
      <c r="J4" s="5" t="s">
        <v>821</v>
      </c>
    </row>
    <row r="5" customFormat="false" ht="18.75" hidden="false" customHeight="true" outlineLevel="0" collapsed="false">
      <c r="A5" s="17" t="n">
        <v>1</v>
      </c>
      <c r="B5" s="18" t="s">
        <v>822</v>
      </c>
      <c r="C5" s="9" t="s">
        <v>484</v>
      </c>
      <c r="D5" s="18" t="s">
        <v>39</v>
      </c>
      <c r="E5" s="18" t="s">
        <v>67</v>
      </c>
      <c r="F5" s="19" t="n">
        <v>300</v>
      </c>
      <c r="G5" s="19" t="n">
        <v>0</v>
      </c>
      <c r="H5" s="19" t="n">
        <v>-10</v>
      </c>
      <c r="I5" s="19" t="n">
        <v>0</v>
      </c>
      <c r="J5" s="18" t="s">
        <v>823</v>
      </c>
    </row>
    <row r="6" customFormat="false" ht="18.75" hidden="false" customHeight="true" outlineLevel="0" collapsed="false">
      <c r="A6" s="20" t="n">
        <v>2</v>
      </c>
      <c r="B6" s="21" t="s">
        <v>824</v>
      </c>
      <c r="C6" s="13" t="s">
        <v>479</v>
      </c>
      <c r="D6" s="21" t="s">
        <v>39</v>
      </c>
      <c r="E6" s="21" t="s">
        <v>65</v>
      </c>
      <c r="F6" s="22" t="n">
        <v>45</v>
      </c>
      <c r="G6" s="22" t="n">
        <v>0</v>
      </c>
      <c r="H6" s="22" t="n">
        <v>-148</v>
      </c>
      <c r="I6" s="22" t="n">
        <v>0</v>
      </c>
      <c r="J6" s="21" t="s">
        <v>823</v>
      </c>
    </row>
    <row r="7" customFormat="false" ht="18.75" hidden="false" customHeight="true" outlineLevel="0" collapsed="false">
      <c r="A7" s="17" t="n">
        <v>3</v>
      </c>
      <c r="B7" s="18" t="s">
        <v>825</v>
      </c>
      <c r="C7" s="9" t="s">
        <v>510</v>
      </c>
      <c r="D7" s="18" t="s">
        <v>39</v>
      </c>
      <c r="E7" s="18" t="s">
        <v>67</v>
      </c>
      <c r="F7" s="19" t="n">
        <v>3500</v>
      </c>
      <c r="G7" s="19" t="n">
        <v>3500</v>
      </c>
      <c r="H7" s="19" t="n">
        <v>-7</v>
      </c>
      <c r="I7" s="19" t="n">
        <v>0</v>
      </c>
      <c r="J7" s="18" t="s">
        <v>823</v>
      </c>
    </row>
    <row r="8" customFormat="false" ht="18.75" hidden="false" customHeight="true" outlineLevel="0" collapsed="false">
      <c r="A8" s="20" t="n">
        <v>4</v>
      </c>
      <c r="B8" s="21" t="s">
        <v>826</v>
      </c>
      <c r="C8" s="13" t="s">
        <v>68</v>
      </c>
      <c r="D8" s="21" t="s">
        <v>39</v>
      </c>
      <c r="E8" s="21" t="s">
        <v>65</v>
      </c>
      <c r="F8" s="22" t="n">
        <v>17.5</v>
      </c>
      <c r="G8" s="22" t="n">
        <v>0</v>
      </c>
      <c r="H8" s="22" t="n">
        <v>-83980.25</v>
      </c>
      <c r="I8" s="22" t="n">
        <v>0</v>
      </c>
      <c r="J8" s="21" t="s">
        <v>823</v>
      </c>
    </row>
    <row r="9" customFormat="false" ht="18.75" hidden="false" customHeight="true" outlineLevel="0" collapsed="false">
      <c r="A9" s="17" t="n">
        <v>5</v>
      </c>
      <c r="B9" s="18" t="s">
        <v>827</v>
      </c>
      <c r="C9" s="9" t="s">
        <v>72</v>
      </c>
      <c r="D9" s="18" t="s">
        <v>39</v>
      </c>
      <c r="E9" s="18" t="s">
        <v>73</v>
      </c>
      <c r="F9" s="19" t="n">
        <v>24</v>
      </c>
      <c r="G9" s="19" t="n">
        <v>0</v>
      </c>
      <c r="H9" s="19" t="n">
        <v>-14924.25</v>
      </c>
      <c r="I9" s="19" t="n">
        <v>0</v>
      </c>
      <c r="J9" s="18" t="s">
        <v>823</v>
      </c>
    </row>
    <row r="10" customFormat="false" ht="18.75" hidden="false" customHeight="true" outlineLevel="0" collapsed="false">
      <c r="A10" s="20" t="n">
        <v>6</v>
      </c>
      <c r="B10" s="21" t="s">
        <v>828</v>
      </c>
      <c r="C10" s="13" t="s">
        <v>71</v>
      </c>
      <c r="D10" s="21" t="s">
        <v>39</v>
      </c>
      <c r="E10" s="21" t="s">
        <v>67</v>
      </c>
      <c r="F10" s="22" t="n">
        <v>1700</v>
      </c>
      <c r="G10" s="22" t="n">
        <v>0</v>
      </c>
      <c r="H10" s="22" t="n">
        <v>-243</v>
      </c>
      <c r="I10" s="22" t="n">
        <v>0</v>
      </c>
      <c r="J10" s="21" t="s">
        <v>823</v>
      </c>
    </row>
    <row r="11" customFormat="false" ht="18.75" hidden="false" customHeight="true" outlineLevel="0" collapsed="false">
      <c r="A11" s="17" t="n">
        <v>7</v>
      </c>
      <c r="B11" s="18" t="s">
        <v>829</v>
      </c>
      <c r="C11" s="9" t="s">
        <v>472</v>
      </c>
      <c r="D11" s="18" t="s">
        <v>39</v>
      </c>
      <c r="E11" s="18" t="s">
        <v>67</v>
      </c>
      <c r="F11" s="19" t="n">
        <v>55</v>
      </c>
      <c r="G11" s="19" t="n">
        <v>0</v>
      </c>
      <c r="H11" s="19" t="n">
        <v>-250</v>
      </c>
      <c r="I11" s="19" t="n">
        <v>0</v>
      </c>
      <c r="J11" s="18" t="s">
        <v>823</v>
      </c>
    </row>
    <row r="12" customFormat="false" ht="18.75" hidden="false" customHeight="true" outlineLevel="0" collapsed="false">
      <c r="A12" s="20" t="n">
        <v>8</v>
      </c>
      <c r="B12" s="21" t="s">
        <v>830</v>
      </c>
      <c r="C12" s="13" t="s">
        <v>521</v>
      </c>
      <c r="D12" s="21" t="s">
        <v>39</v>
      </c>
      <c r="E12" s="21" t="s">
        <v>67</v>
      </c>
      <c r="F12" s="22" t="n">
        <v>42</v>
      </c>
      <c r="G12" s="22" t="n">
        <v>0</v>
      </c>
      <c r="H12" s="22" t="n">
        <v>-725</v>
      </c>
      <c r="I12" s="22" t="n">
        <v>0</v>
      </c>
      <c r="J12" s="21" t="s">
        <v>823</v>
      </c>
    </row>
    <row r="13" customFormat="false" ht="18.75" hidden="false" customHeight="true" outlineLevel="0" collapsed="false">
      <c r="A13" s="17" t="n">
        <v>9</v>
      </c>
      <c r="B13" s="18" t="s">
        <v>831</v>
      </c>
      <c r="C13" s="9" t="s">
        <v>75</v>
      </c>
      <c r="D13" s="18" t="s">
        <v>39</v>
      </c>
      <c r="E13" s="18" t="s">
        <v>65</v>
      </c>
      <c r="F13" s="19" t="n">
        <v>236</v>
      </c>
      <c r="G13" s="19" t="n">
        <v>0</v>
      </c>
      <c r="H13" s="19" t="n">
        <v>-16591.5</v>
      </c>
      <c r="I13" s="19" t="n">
        <v>0</v>
      </c>
      <c r="J13" s="18" t="s">
        <v>823</v>
      </c>
    </row>
    <row r="14" customFormat="false" ht="18.75" hidden="false" customHeight="true" outlineLevel="0" collapsed="false">
      <c r="A14" s="20" t="n">
        <v>10</v>
      </c>
      <c r="B14" s="21" t="s">
        <v>832</v>
      </c>
      <c r="C14" s="13" t="s">
        <v>532</v>
      </c>
      <c r="D14" s="21" t="s">
        <v>39</v>
      </c>
      <c r="E14" s="21" t="s">
        <v>65</v>
      </c>
      <c r="F14" s="22" t="n">
        <v>17.25</v>
      </c>
      <c r="G14" s="22" t="n">
        <v>0</v>
      </c>
      <c r="H14" s="22" t="n">
        <v>-4074</v>
      </c>
      <c r="I14" s="22" t="n">
        <v>0</v>
      </c>
      <c r="J14" s="21" t="s">
        <v>823</v>
      </c>
    </row>
    <row r="15" customFormat="false" ht="18.75" hidden="false" customHeight="true" outlineLevel="0" collapsed="false">
      <c r="A15" s="17" t="n">
        <v>11</v>
      </c>
      <c r="B15" s="18" t="s">
        <v>833</v>
      </c>
      <c r="C15" s="9" t="s">
        <v>538</v>
      </c>
      <c r="D15" s="18" t="s">
        <v>39</v>
      </c>
      <c r="E15" s="18" t="s">
        <v>67</v>
      </c>
      <c r="F15" s="19" t="n">
        <v>11400</v>
      </c>
      <c r="G15" s="19" t="n">
        <v>0</v>
      </c>
      <c r="H15" s="19" t="n">
        <v>-1</v>
      </c>
      <c r="I15" s="19" t="n">
        <v>0</v>
      </c>
      <c r="J15" s="18" t="s">
        <v>823</v>
      </c>
    </row>
    <row r="16" customFormat="false" ht="18.75" hidden="false" customHeight="true" outlineLevel="0" collapsed="false">
      <c r="A16" s="20" t="n">
        <v>12</v>
      </c>
      <c r="B16" s="21" t="s">
        <v>834</v>
      </c>
      <c r="C16" s="13" t="s">
        <v>509</v>
      </c>
      <c r="D16" s="21" t="s">
        <v>39</v>
      </c>
      <c r="E16" s="21" t="s">
        <v>67</v>
      </c>
      <c r="F16" s="22" t="n">
        <v>4500</v>
      </c>
      <c r="G16" s="22" t="n">
        <v>4500</v>
      </c>
      <c r="H16" s="22" t="n">
        <v>-10</v>
      </c>
      <c r="I16" s="22" t="n">
        <v>0</v>
      </c>
      <c r="J16" s="21" t="s">
        <v>823</v>
      </c>
    </row>
    <row r="17" customFormat="false" ht="18.75" hidden="false" customHeight="true" outlineLevel="0" collapsed="false">
      <c r="A17" s="17" t="n">
        <v>13</v>
      </c>
      <c r="B17" s="18" t="s">
        <v>835</v>
      </c>
      <c r="C17" s="9" t="s">
        <v>518</v>
      </c>
      <c r="D17" s="18" t="s">
        <v>39</v>
      </c>
      <c r="E17" s="18" t="s">
        <v>67</v>
      </c>
      <c r="F17" s="19" t="n">
        <v>1300</v>
      </c>
      <c r="G17" s="19" t="n">
        <v>0</v>
      </c>
      <c r="H17" s="19" t="n">
        <v>-2</v>
      </c>
      <c r="I17" s="19" t="n">
        <v>0</v>
      </c>
      <c r="J17" s="18" t="s">
        <v>823</v>
      </c>
    </row>
    <row r="18" customFormat="false" ht="18.75" hidden="false" customHeight="true" outlineLevel="0" collapsed="false">
      <c r="A18" s="20" t="n">
        <v>14</v>
      </c>
      <c r="B18" s="21" t="s">
        <v>836</v>
      </c>
      <c r="C18" s="13" t="s">
        <v>76</v>
      </c>
      <c r="D18" s="21" t="s">
        <v>39</v>
      </c>
      <c r="E18" s="21" t="s">
        <v>67</v>
      </c>
      <c r="F18" s="22" t="n">
        <v>200</v>
      </c>
      <c r="G18" s="22" t="n">
        <v>0</v>
      </c>
      <c r="H18" s="22" t="n">
        <v>-1930</v>
      </c>
      <c r="I18" s="22" t="n">
        <v>0</v>
      </c>
      <c r="J18" s="21" t="s">
        <v>823</v>
      </c>
    </row>
    <row r="19" customFormat="false" ht="18.75" hidden="false" customHeight="true" outlineLevel="0" collapsed="false">
      <c r="A19" s="17" t="n">
        <v>15</v>
      </c>
      <c r="B19" s="18" t="s">
        <v>837</v>
      </c>
      <c r="C19" s="9" t="s">
        <v>531</v>
      </c>
      <c r="D19" s="18" t="s">
        <v>39</v>
      </c>
      <c r="E19" s="18" t="s">
        <v>67</v>
      </c>
      <c r="F19" s="19" t="n">
        <v>60</v>
      </c>
      <c r="G19" s="19" t="n">
        <v>0</v>
      </c>
      <c r="H19" s="19" t="n">
        <v>-20</v>
      </c>
      <c r="I19" s="19" t="n">
        <v>0</v>
      </c>
      <c r="J19" s="18" t="s">
        <v>823</v>
      </c>
    </row>
    <row r="20" customFormat="false" ht="18.75" hidden="false" customHeight="true" outlineLevel="0" collapsed="false">
      <c r="A20" s="20" t="n">
        <v>16</v>
      </c>
      <c r="B20" s="21" t="s">
        <v>838</v>
      </c>
      <c r="C20" s="13" t="s">
        <v>500</v>
      </c>
      <c r="D20" s="21" t="s">
        <v>39</v>
      </c>
      <c r="E20" s="21" t="s">
        <v>67</v>
      </c>
      <c r="F20" s="22" t="n">
        <v>400</v>
      </c>
      <c r="G20" s="22" t="n">
        <v>0</v>
      </c>
      <c r="H20" s="22" t="n">
        <v>-13</v>
      </c>
      <c r="I20" s="22" t="n">
        <v>0</v>
      </c>
      <c r="J20" s="21" t="s">
        <v>823</v>
      </c>
    </row>
    <row r="21" customFormat="false" ht="18.75" hidden="false" customHeight="true" outlineLevel="0" collapsed="false">
      <c r="A21" s="17" t="n">
        <v>17</v>
      </c>
      <c r="B21" s="18" t="s">
        <v>839</v>
      </c>
      <c r="C21" s="9" t="s">
        <v>522</v>
      </c>
      <c r="D21" s="18" t="s">
        <v>39</v>
      </c>
      <c r="E21" s="18" t="s">
        <v>67</v>
      </c>
      <c r="F21" s="19" t="n">
        <v>190</v>
      </c>
      <c r="G21" s="19" t="n">
        <v>0</v>
      </c>
      <c r="H21" s="19" t="n">
        <v>-80</v>
      </c>
      <c r="I21" s="19" t="n">
        <v>0</v>
      </c>
      <c r="J21" s="18" t="s">
        <v>823</v>
      </c>
    </row>
    <row r="22" customFormat="false" ht="18.75" hidden="false" customHeight="true" outlineLevel="0" collapsed="false">
      <c r="A22" s="20" t="n">
        <v>18</v>
      </c>
      <c r="B22" s="21" t="s">
        <v>840</v>
      </c>
      <c r="C22" s="13" t="s">
        <v>470</v>
      </c>
      <c r="D22" s="21" t="s">
        <v>39</v>
      </c>
      <c r="E22" s="21" t="s">
        <v>73</v>
      </c>
      <c r="F22" s="22" t="n">
        <v>10.5</v>
      </c>
      <c r="G22" s="22" t="n">
        <v>0</v>
      </c>
      <c r="H22" s="22" t="n">
        <v>-22404.25</v>
      </c>
      <c r="I22" s="22" t="n">
        <v>0</v>
      </c>
      <c r="J22" s="21" t="s">
        <v>823</v>
      </c>
    </row>
    <row r="23" customFormat="false" ht="18.75" hidden="false" customHeight="true" outlineLevel="0" collapsed="false">
      <c r="A23" s="17" t="n">
        <v>19</v>
      </c>
      <c r="B23" s="18" t="s">
        <v>841</v>
      </c>
      <c r="C23" s="9" t="s">
        <v>488</v>
      </c>
      <c r="D23" s="18" t="s">
        <v>39</v>
      </c>
      <c r="E23" s="18" t="s">
        <v>489</v>
      </c>
      <c r="F23" s="19" t="n">
        <v>600</v>
      </c>
      <c r="G23" s="19" t="n">
        <v>0</v>
      </c>
      <c r="H23" s="19" t="n">
        <v>-4.15</v>
      </c>
      <c r="I23" s="19" t="n">
        <v>0</v>
      </c>
      <c r="J23" s="18" t="s">
        <v>823</v>
      </c>
    </row>
    <row r="24" customFormat="false" ht="18.75" hidden="false" customHeight="true" outlineLevel="0" collapsed="false">
      <c r="A24" s="20" t="n">
        <v>20</v>
      </c>
      <c r="B24" s="21" t="s">
        <v>842</v>
      </c>
      <c r="C24" s="13" t="s">
        <v>515</v>
      </c>
      <c r="D24" s="21" t="s">
        <v>39</v>
      </c>
      <c r="E24" s="21" t="s">
        <v>67</v>
      </c>
      <c r="F24" s="22" t="n">
        <v>425</v>
      </c>
      <c r="G24" s="22" t="n">
        <v>0</v>
      </c>
      <c r="H24" s="22" t="n">
        <v>-54</v>
      </c>
      <c r="I24" s="22" t="n">
        <v>0</v>
      </c>
      <c r="J24" s="21" t="s">
        <v>823</v>
      </c>
    </row>
    <row r="25" customFormat="false" ht="18.75" hidden="false" customHeight="true" outlineLevel="0" collapsed="false">
      <c r="A25" s="17" t="n">
        <v>21</v>
      </c>
      <c r="B25" s="18" t="s">
        <v>843</v>
      </c>
      <c r="C25" s="9" t="s">
        <v>513</v>
      </c>
      <c r="D25" s="18" t="s">
        <v>39</v>
      </c>
      <c r="E25" s="18" t="s">
        <v>67</v>
      </c>
      <c r="F25" s="19" t="n">
        <v>100</v>
      </c>
      <c r="G25" s="19" t="n">
        <v>0</v>
      </c>
      <c r="H25" s="19" t="n">
        <v>-770</v>
      </c>
      <c r="I25" s="19" t="n">
        <v>0</v>
      </c>
      <c r="J25" s="18" t="s">
        <v>823</v>
      </c>
    </row>
    <row r="26" customFormat="false" ht="18.75" hidden="false" customHeight="true" outlineLevel="0" collapsed="false">
      <c r="A26" s="20" t="n">
        <v>22</v>
      </c>
      <c r="B26" s="21" t="s">
        <v>844</v>
      </c>
      <c r="C26" s="13" t="s">
        <v>494</v>
      </c>
      <c r="D26" s="21" t="s">
        <v>39</v>
      </c>
      <c r="E26" s="21" t="s">
        <v>67</v>
      </c>
      <c r="F26" s="22" t="n">
        <v>6600</v>
      </c>
      <c r="G26" s="22" t="n">
        <v>0</v>
      </c>
      <c r="H26" s="22" t="n">
        <v>-6602</v>
      </c>
      <c r="I26" s="22" t="n">
        <v>0</v>
      </c>
      <c r="J26" s="21" t="s">
        <v>823</v>
      </c>
    </row>
    <row r="27" customFormat="false" ht="18.75" hidden="false" customHeight="true" outlineLevel="0" collapsed="false">
      <c r="A27" s="17" t="n">
        <v>23</v>
      </c>
      <c r="B27" s="18" t="s">
        <v>845</v>
      </c>
      <c r="C27" s="9" t="s">
        <v>540</v>
      </c>
      <c r="D27" s="18" t="s">
        <v>39</v>
      </c>
      <c r="E27" s="18" t="s">
        <v>67</v>
      </c>
      <c r="F27" s="19" t="n">
        <v>265</v>
      </c>
      <c r="G27" s="19" t="n">
        <v>0</v>
      </c>
      <c r="H27" s="19" t="n">
        <v>-72</v>
      </c>
      <c r="I27" s="19" t="n">
        <v>0</v>
      </c>
      <c r="J27" s="18" t="s">
        <v>823</v>
      </c>
    </row>
    <row r="28" customFormat="false" ht="18.75" hidden="false" customHeight="true" outlineLevel="0" collapsed="false">
      <c r="A28" s="20" t="n">
        <v>24</v>
      </c>
      <c r="B28" s="21" t="s">
        <v>846</v>
      </c>
      <c r="C28" s="13" t="s">
        <v>517</v>
      </c>
      <c r="D28" s="21" t="s">
        <v>39</v>
      </c>
      <c r="E28" s="21" t="s">
        <v>67</v>
      </c>
      <c r="F28" s="22" t="n">
        <v>120</v>
      </c>
      <c r="G28" s="22" t="n">
        <v>0</v>
      </c>
      <c r="H28" s="22" t="n">
        <v>-115</v>
      </c>
      <c r="I28" s="22" t="n">
        <v>0</v>
      </c>
      <c r="J28" s="21" t="s">
        <v>823</v>
      </c>
    </row>
    <row r="29" customFormat="false" ht="18.75" hidden="false" customHeight="true" outlineLevel="0" collapsed="false">
      <c r="A29" s="17" t="n">
        <v>25</v>
      </c>
      <c r="B29" s="18" t="s">
        <v>847</v>
      </c>
      <c r="C29" s="9" t="s">
        <v>539</v>
      </c>
      <c r="D29" s="18" t="s">
        <v>39</v>
      </c>
      <c r="E29" s="18"/>
      <c r="F29" s="19" t="n">
        <v>18</v>
      </c>
      <c r="G29" s="19" t="n">
        <v>0</v>
      </c>
      <c r="H29" s="19" t="n">
        <v>-390</v>
      </c>
      <c r="I29" s="19" t="n">
        <v>0</v>
      </c>
      <c r="J29" s="18" t="s">
        <v>823</v>
      </c>
    </row>
    <row r="30" customFormat="false" ht="18.75" hidden="false" customHeight="true" outlineLevel="0" collapsed="false">
      <c r="A30" s="20" t="n">
        <v>26</v>
      </c>
      <c r="B30" s="21" t="s">
        <v>848</v>
      </c>
      <c r="C30" s="13" t="s">
        <v>463</v>
      </c>
      <c r="D30" s="21" t="s">
        <v>39</v>
      </c>
      <c r="E30" s="21" t="s">
        <v>67</v>
      </c>
      <c r="F30" s="22" t="n">
        <v>400</v>
      </c>
      <c r="G30" s="22" t="n">
        <v>0</v>
      </c>
      <c r="H30" s="22" t="n">
        <v>-530</v>
      </c>
      <c r="I30" s="22" t="n">
        <v>0</v>
      </c>
      <c r="J30" s="21" t="s">
        <v>823</v>
      </c>
    </row>
    <row r="31" customFormat="false" ht="18.75" hidden="false" customHeight="true" outlineLevel="0" collapsed="false">
      <c r="A31" s="17" t="n">
        <v>27</v>
      </c>
      <c r="B31" s="18" t="s">
        <v>849</v>
      </c>
      <c r="C31" s="9" t="s">
        <v>511</v>
      </c>
      <c r="D31" s="18" t="s">
        <v>39</v>
      </c>
      <c r="E31" s="18" t="s">
        <v>67</v>
      </c>
      <c r="F31" s="19" t="n">
        <v>8</v>
      </c>
      <c r="G31" s="19" t="n">
        <v>0</v>
      </c>
      <c r="H31" s="19" t="n">
        <v>-396</v>
      </c>
      <c r="I31" s="19" t="n">
        <v>0</v>
      </c>
      <c r="J31" s="18" t="s">
        <v>823</v>
      </c>
    </row>
    <row r="32" customFormat="false" ht="18.75" hidden="false" customHeight="true" outlineLevel="0" collapsed="false">
      <c r="A32" s="20" t="n">
        <v>28</v>
      </c>
      <c r="B32" s="21" t="s">
        <v>850</v>
      </c>
      <c r="C32" s="13" t="s">
        <v>529</v>
      </c>
      <c r="D32" s="21" t="s">
        <v>39</v>
      </c>
      <c r="E32" s="21" t="s">
        <v>67</v>
      </c>
      <c r="F32" s="22" t="n">
        <v>2000</v>
      </c>
      <c r="G32" s="22" t="n">
        <v>0</v>
      </c>
      <c r="H32" s="22" t="n">
        <v>-2</v>
      </c>
      <c r="I32" s="22" t="n">
        <v>0</v>
      </c>
      <c r="J32" s="21" t="s">
        <v>823</v>
      </c>
    </row>
    <row r="33" customFormat="false" ht="18.75" hidden="false" customHeight="true" outlineLevel="0" collapsed="false">
      <c r="A33" s="17" t="n">
        <v>29</v>
      </c>
      <c r="B33" s="18" t="s">
        <v>851</v>
      </c>
      <c r="C33" s="9" t="s">
        <v>481</v>
      </c>
      <c r="D33" s="18" t="s">
        <v>39</v>
      </c>
      <c r="E33" s="18" t="s">
        <v>67</v>
      </c>
      <c r="F33" s="19" t="n">
        <v>325</v>
      </c>
      <c r="G33" s="19" t="n">
        <v>0</v>
      </c>
      <c r="H33" s="19" t="n">
        <v>-17</v>
      </c>
      <c r="I33" s="19" t="n">
        <v>0</v>
      </c>
      <c r="J33" s="18" t="s">
        <v>823</v>
      </c>
    </row>
    <row r="34" customFormat="false" ht="18.75" hidden="false" customHeight="true" outlineLevel="0" collapsed="false">
      <c r="A34" s="20" t="n">
        <v>30</v>
      </c>
      <c r="B34" s="21" t="s">
        <v>852</v>
      </c>
      <c r="C34" s="13" t="s">
        <v>528</v>
      </c>
      <c r="D34" s="21" t="s">
        <v>39</v>
      </c>
      <c r="E34" s="21" t="s">
        <v>67</v>
      </c>
      <c r="F34" s="22" t="n">
        <v>1550</v>
      </c>
      <c r="G34" s="22" t="n">
        <v>0</v>
      </c>
      <c r="H34" s="22" t="n">
        <v>-2</v>
      </c>
      <c r="I34" s="22" t="n">
        <v>0</v>
      </c>
      <c r="J34" s="21" t="s">
        <v>823</v>
      </c>
    </row>
    <row r="35" customFormat="false" ht="18.75" hidden="false" customHeight="true" outlineLevel="0" collapsed="false">
      <c r="A35" s="17" t="n">
        <v>31</v>
      </c>
      <c r="B35" s="18" t="s">
        <v>853</v>
      </c>
      <c r="C35" s="9" t="s">
        <v>480</v>
      </c>
      <c r="D35" s="18" t="s">
        <v>39</v>
      </c>
      <c r="E35" s="18" t="s">
        <v>67</v>
      </c>
      <c r="F35" s="19" t="n">
        <v>180</v>
      </c>
      <c r="G35" s="19" t="n">
        <v>0</v>
      </c>
      <c r="H35" s="19" t="n">
        <v>-10</v>
      </c>
      <c r="I35" s="19" t="n">
        <v>0</v>
      </c>
      <c r="J35" s="18" t="s">
        <v>823</v>
      </c>
    </row>
    <row r="36" customFormat="false" ht="18.75" hidden="false" customHeight="true" outlineLevel="0" collapsed="false">
      <c r="A36" s="20" t="n">
        <v>32</v>
      </c>
      <c r="B36" s="21" t="s">
        <v>854</v>
      </c>
      <c r="C36" s="13" t="s">
        <v>504</v>
      </c>
      <c r="D36" s="21" t="s">
        <v>39</v>
      </c>
      <c r="E36" s="21" t="s">
        <v>67</v>
      </c>
      <c r="F36" s="22" t="n">
        <v>200</v>
      </c>
      <c r="G36" s="22" t="n">
        <v>0</v>
      </c>
      <c r="H36" s="22" t="n">
        <v>-35</v>
      </c>
      <c r="I36" s="22" t="n">
        <v>0</v>
      </c>
      <c r="J36" s="21" t="s">
        <v>823</v>
      </c>
    </row>
    <row r="37" customFormat="false" ht="18.75" hidden="false" customHeight="true" outlineLevel="0" collapsed="false">
      <c r="A37" s="17" t="n">
        <v>33</v>
      </c>
      <c r="B37" s="18" t="s">
        <v>855</v>
      </c>
      <c r="C37" s="9" t="s">
        <v>506</v>
      </c>
      <c r="D37" s="18" t="s">
        <v>39</v>
      </c>
      <c r="E37" s="18" t="s">
        <v>67</v>
      </c>
      <c r="F37" s="19" t="n">
        <v>1200</v>
      </c>
      <c r="G37" s="19" t="n">
        <v>0</v>
      </c>
      <c r="H37" s="19" t="n">
        <v>-8</v>
      </c>
      <c r="I37" s="19" t="n">
        <v>0</v>
      </c>
      <c r="J37" s="18" t="s">
        <v>823</v>
      </c>
    </row>
    <row r="38" customFormat="false" ht="18.75" hidden="false" customHeight="true" outlineLevel="0" collapsed="false">
      <c r="A38" s="20" t="n">
        <v>34</v>
      </c>
      <c r="B38" s="21" t="s">
        <v>856</v>
      </c>
      <c r="C38" s="13" t="s">
        <v>514</v>
      </c>
      <c r="D38" s="21" t="s">
        <v>39</v>
      </c>
      <c r="E38" s="21" t="s">
        <v>67</v>
      </c>
      <c r="F38" s="22" t="n">
        <v>440</v>
      </c>
      <c r="G38" s="22" t="n">
        <v>0</v>
      </c>
      <c r="H38" s="22" t="n">
        <v>-508</v>
      </c>
      <c r="I38" s="22" t="n">
        <v>0</v>
      </c>
      <c r="J38" s="21" t="s">
        <v>823</v>
      </c>
    </row>
    <row r="39" customFormat="false" ht="18.75" hidden="false" customHeight="true" outlineLevel="0" collapsed="false">
      <c r="A39" s="17" t="n">
        <v>35</v>
      </c>
      <c r="B39" s="18" t="s">
        <v>857</v>
      </c>
      <c r="C39" s="9" t="s">
        <v>858</v>
      </c>
      <c r="D39" s="18" t="s">
        <v>39</v>
      </c>
      <c r="E39" s="18" t="s">
        <v>65</v>
      </c>
      <c r="F39" s="19" t="n">
        <v>16.5</v>
      </c>
      <c r="G39" s="19" t="n">
        <v>0</v>
      </c>
      <c r="H39" s="19" t="n">
        <v>0</v>
      </c>
      <c r="I39" s="19" t="n">
        <v>0</v>
      </c>
      <c r="J39" s="18" t="s">
        <v>823</v>
      </c>
    </row>
    <row r="40" customFormat="false" ht="18.75" hidden="false" customHeight="true" outlineLevel="0" collapsed="false">
      <c r="A40" s="20" t="n">
        <v>36</v>
      </c>
      <c r="B40" s="21" t="s">
        <v>859</v>
      </c>
      <c r="C40" s="13" t="s">
        <v>493</v>
      </c>
      <c r="D40" s="21" t="s">
        <v>39</v>
      </c>
      <c r="E40" s="21" t="s">
        <v>67</v>
      </c>
      <c r="F40" s="22" t="n">
        <v>55</v>
      </c>
      <c r="G40" s="22" t="n">
        <v>0</v>
      </c>
      <c r="H40" s="22" t="n">
        <v>-6</v>
      </c>
      <c r="I40" s="22" t="n">
        <v>0</v>
      </c>
      <c r="J40" s="21" t="s">
        <v>823</v>
      </c>
    </row>
    <row r="41" customFormat="false" ht="18.75" hidden="false" customHeight="true" outlineLevel="0" collapsed="false">
      <c r="A41" s="17" t="n">
        <v>37</v>
      </c>
      <c r="B41" s="18" t="s">
        <v>860</v>
      </c>
      <c r="C41" s="9" t="s">
        <v>516</v>
      </c>
      <c r="D41" s="18" t="s">
        <v>39</v>
      </c>
      <c r="E41" s="18" t="s">
        <v>67</v>
      </c>
      <c r="F41" s="19" t="n">
        <v>1600</v>
      </c>
      <c r="G41" s="19" t="n">
        <v>0</v>
      </c>
      <c r="H41" s="19" t="n">
        <v>-4</v>
      </c>
      <c r="I41" s="19" t="n">
        <v>0</v>
      </c>
      <c r="J41" s="18" t="s">
        <v>823</v>
      </c>
    </row>
    <row r="42" customFormat="false" ht="18.75" hidden="false" customHeight="true" outlineLevel="0" collapsed="false">
      <c r="A42" s="20" t="n">
        <v>38</v>
      </c>
      <c r="B42" s="21" t="s">
        <v>861</v>
      </c>
      <c r="C42" s="13" t="s">
        <v>525</v>
      </c>
      <c r="D42" s="21" t="s">
        <v>39</v>
      </c>
      <c r="E42" s="21" t="s">
        <v>67</v>
      </c>
      <c r="F42" s="22" t="n">
        <v>5</v>
      </c>
      <c r="G42" s="22" t="n">
        <v>0</v>
      </c>
      <c r="H42" s="22" t="n">
        <v>-1400</v>
      </c>
      <c r="I42" s="22" t="n">
        <v>0</v>
      </c>
      <c r="J42" s="21" t="s">
        <v>823</v>
      </c>
    </row>
    <row r="43" customFormat="false" ht="18.75" hidden="false" customHeight="true" outlineLevel="0" collapsed="false">
      <c r="A43" s="17" t="n">
        <v>39</v>
      </c>
      <c r="B43" s="18" t="s">
        <v>862</v>
      </c>
      <c r="C43" s="9" t="s">
        <v>526</v>
      </c>
      <c r="D43" s="18" t="s">
        <v>39</v>
      </c>
      <c r="E43" s="18" t="s">
        <v>67</v>
      </c>
      <c r="F43" s="19" t="n">
        <v>360</v>
      </c>
      <c r="G43" s="19" t="n">
        <v>0</v>
      </c>
      <c r="H43" s="19" t="n">
        <v>-60</v>
      </c>
      <c r="I43" s="19" t="n">
        <v>0</v>
      </c>
      <c r="J43" s="18" t="s">
        <v>823</v>
      </c>
    </row>
    <row r="44" customFormat="false" ht="18.75" hidden="false" customHeight="true" outlineLevel="0" collapsed="false">
      <c r="A44" s="20" t="n">
        <v>40</v>
      </c>
      <c r="B44" s="21" t="s">
        <v>863</v>
      </c>
      <c r="C44" s="13" t="s">
        <v>527</v>
      </c>
      <c r="D44" s="21" t="s">
        <v>39</v>
      </c>
      <c r="E44" s="21" t="s">
        <v>67</v>
      </c>
      <c r="F44" s="22" t="n">
        <v>650</v>
      </c>
      <c r="G44" s="22" t="n">
        <v>0</v>
      </c>
      <c r="H44" s="22" t="n">
        <v>-20</v>
      </c>
      <c r="I44" s="22" t="n">
        <v>0</v>
      </c>
      <c r="J44" s="21" t="s">
        <v>823</v>
      </c>
    </row>
    <row r="45" customFormat="false" ht="18.75" hidden="false" customHeight="true" outlineLevel="0" collapsed="false">
      <c r="A45" s="17" t="n">
        <v>41</v>
      </c>
      <c r="B45" s="18" t="s">
        <v>864</v>
      </c>
      <c r="C45" s="9" t="s">
        <v>534</v>
      </c>
      <c r="D45" s="18" t="s">
        <v>39</v>
      </c>
      <c r="E45" s="18" t="s">
        <v>67</v>
      </c>
      <c r="F45" s="19" t="n">
        <v>20</v>
      </c>
      <c r="G45" s="19" t="n">
        <v>0</v>
      </c>
      <c r="H45" s="19" t="n">
        <v>-575</v>
      </c>
      <c r="I45" s="19" t="n">
        <v>0</v>
      </c>
      <c r="J45" s="18" t="s">
        <v>823</v>
      </c>
    </row>
    <row r="46" customFormat="false" ht="18.75" hidden="false" customHeight="true" outlineLevel="0" collapsed="false">
      <c r="A46" s="20" t="n">
        <v>42</v>
      </c>
      <c r="B46" s="21" t="s">
        <v>865</v>
      </c>
      <c r="C46" s="13" t="s">
        <v>523</v>
      </c>
      <c r="D46" s="21" t="s">
        <v>39</v>
      </c>
      <c r="E46" s="21" t="s">
        <v>67</v>
      </c>
      <c r="F46" s="22" t="n">
        <v>700</v>
      </c>
      <c r="G46" s="22" t="n">
        <v>0</v>
      </c>
      <c r="H46" s="22" t="n">
        <v>-1</v>
      </c>
      <c r="I46" s="22" t="n">
        <v>0</v>
      </c>
      <c r="J46" s="21" t="s">
        <v>823</v>
      </c>
    </row>
    <row r="47" customFormat="false" ht="18.75" hidden="false" customHeight="true" outlineLevel="0" collapsed="false">
      <c r="A47" s="17" t="n">
        <v>43</v>
      </c>
      <c r="B47" s="18" t="s">
        <v>866</v>
      </c>
      <c r="C47" s="9" t="s">
        <v>471</v>
      </c>
      <c r="D47" s="18" t="s">
        <v>39</v>
      </c>
      <c r="E47" s="18" t="s">
        <v>67</v>
      </c>
      <c r="F47" s="19" t="n">
        <v>8500</v>
      </c>
      <c r="G47" s="19" t="n">
        <v>0</v>
      </c>
      <c r="H47" s="19" t="n">
        <v>-18</v>
      </c>
      <c r="I47" s="19" t="n">
        <v>0</v>
      </c>
      <c r="J47" s="18" t="s">
        <v>823</v>
      </c>
    </row>
    <row r="48" customFormat="false" ht="18.75" hidden="false" customHeight="true" outlineLevel="0" collapsed="false">
      <c r="A48" s="20" t="n">
        <v>44</v>
      </c>
      <c r="B48" s="21" t="s">
        <v>867</v>
      </c>
      <c r="C48" s="13" t="s">
        <v>483</v>
      </c>
      <c r="D48" s="21" t="s">
        <v>39</v>
      </c>
      <c r="E48" s="21"/>
      <c r="F48" s="22" t="n">
        <v>275</v>
      </c>
      <c r="G48" s="22" t="n">
        <v>0</v>
      </c>
      <c r="H48" s="22" t="n">
        <v>-10</v>
      </c>
      <c r="I48" s="22" t="n">
        <v>0</v>
      </c>
      <c r="J48" s="21" t="s">
        <v>823</v>
      </c>
    </row>
    <row r="49" customFormat="false" ht="18.75" hidden="false" customHeight="true" outlineLevel="0" collapsed="false">
      <c r="A49" s="17" t="n">
        <v>45</v>
      </c>
      <c r="B49" s="18" t="s">
        <v>868</v>
      </c>
      <c r="C49" s="9" t="s">
        <v>449</v>
      </c>
      <c r="D49" s="18" t="s">
        <v>39</v>
      </c>
      <c r="E49" s="18" t="s">
        <v>73</v>
      </c>
      <c r="F49" s="19" t="n">
        <v>12</v>
      </c>
      <c r="G49" s="19" t="n">
        <v>0</v>
      </c>
      <c r="H49" s="19" t="n">
        <v>-10361.25</v>
      </c>
      <c r="I49" s="19" t="n">
        <v>0</v>
      </c>
      <c r="J49" s="18" t="s">
        <v>823</v>
      </c>
    </row>
    <row r="50" customFormat="false" ht="18.75" hidden="false" customHeight="true" outlineLevel="0" collapsed="false">
      <c r="A50" s="20" t="n">
        <v>46</v>
      </c>
      <c r="B50" s="21" t="s">
        <v>869</v>
      </c>
      <c r="C50" s="13" t="s">
        <v>512</v>
      </c>
      <c r="D50" s="21" t="s">
        <v>39</v>
      </c>
      <c r="E50" s="21" t="s">
        <v>67</v>
      </c>
      <c r="F50" s="22" t="n">
        <v>150</v>
      </c>
      <c r="G50" s="22" t="n">
        <v>0</v>
      </c>
      <c r="H50" s="22" t="n">
        <v>-20</v>
      </c>
      <c r="I50" s="22" t="n">
        <v>0</v>
      </c>
      <c r="J50" s="21" t="s">
        <v>823</v>
      </c>
    </row>
    <row r="51" customFormat="false" ht="18.75" hidden="false" customHeight="true" outlineLevel="0" collapsed="false">
      <c r="A51" s="17" t="n">
        <v>47</v>
      </c>
      <c r="B51" s="18" t="s">
        <v>870</v>
      </c>
      <c r="C51" s="9" t="s">
        <v>485</v>
      </c>
      <c r="D51" s="18" t="s">
        <v>39</v>
      </c>
      <c r="E51" s="18" t="s">
        <v>67</v>
      </c>
      <c r="F51" s="19" t="n">
        <v>0</v>
      </c>
      <c r="G51" s="19" t="n">
        <v>0</v>
      </c>
      <c r="H51" s="19" t="n">
        <v>-11</v>
      </c>
      <c r="I51" s="19" t="n">
        <v>0</v>
      </c>
      <c r="J51" s="18" t="s">
        <v>823</v>
      </c>
    </row>
    <row r="52" customFormat="false" ht="18.75" hidden="false" customHeight="true" outlineLevel="0" collapsed="false">
      <c r="A52" s="20" t="n">
        <v>48</v>
      </c>
      <c r="B52" s="21" t="s">
        <v>871</v>
      </c>
      <c r="C52" s="13" t="s">
        <v>495</v>
      </c>
      <c r="D52" s="21" t="s">
        <v>39</v>
      </c>
      <c r="E52" s="21" t="s">
        <v>67</v>
      </c>
      <c r="F52" s="22" t="n">
        <v>850</v>
      </c>
      <c r="G52" s="22" t="n">
        <v>0</v>
      </c>
      <c r="H52" s="22" t="n">
        <v>-14</v>
      </c>
      <c r="I52" s="22" t="n">
        <v>0</v>
      </c>
      <c r="J52" s="21" t="s">
        <v>823</v>
      </c>
    </row>
    <row r="53" customFormat="false" ht="18.75" hidden="false" customHeight="true" outlineLevel="0" collapsed="false">
      <c r="A53" s="17" t="n">
        <v>49</v>
      </c>
      <c r="B53" s="18" t="s">
        <v>872</v>
      </c>
      <c r="C53" s="9" t="s">
        <v>486</v>
      </c>
      <c r="D53" s="18" t="s">
        <v>39</v>
      </c>
      <c r="E53" s="18"/>
      <c r="F53" s="19" t="n">
        <v>900</v>
      </c>
      <c r="G53" s="19" t="n">
        <v>0</v>
      </c>
      <c r="H53" s="19" t="n">
        <v>-24</v>
      </c>
      <c r="I53" s="19" t="n">
        <v>0</v>
      </c>
      <c r="J53" s="18" t="s">
        <v>823</v>
      </c>
    </row>
    <row r="54" customFormat="false" ht="18.75" hidden="false" customHeight="true" outlineLevel="0" collapsed="false">
      <c r="A54" s="20" t="n">
        <v>50</v>
      </c>
      <c r="B54" s="21" t="s">
        <v>873</v>
      </c>
      <c r="C54" s="13" t="s">
        <v>487</v>
      </c>
      <c r="D54" s="21" t="s">
        <v>39</v>
      </c>
      <c r="E54" s="21" t="s">
        <v>67</v>
      </c>
      <c r="F54" s="22" t="n">
        <v>1100</v>
      </c>
      <c r="G54" s="22" t="n">
        <v>0</v>
      </c>
      <c r="H54" s="22" t="n">
        <v>-3</v>
      </c>
      <c r="I54" s="22" t="n">
        <v>0</v>
      </c>
      <c r="J54" s="21" t="s">
        <v>823</v>
      </c>
    </row>
    <row r="55" customFormat="false" ht="18.75" hidden="false" customHeight="true" outlineLevel="0" collapsed="false">
      <c r="A55" s="17" t="n">
        <v>51</v>
      </c>
      <c r="B55" s="18" t="s">
        <v>874</v>
      </c>
      <c r="C55" s="9" t="s">
        <v>530</v>
      </c>
      <c r="D55" s="18" t="s">
        <v>39</v>
      </c>
      <c r="E55" s="18" t="s">
        <v>67</v>
      </c>
      <c r="F55" s="19" t="n">
        <v>550</v>
      </c>
      <c r="G55" s="19" t="n">
        <v>0</v>
      </c>
      <c r="H55" s="19" t="n">
        <v>-80</v>
      </c>
      <c r="I55" s="19" t="n">
        <v>0</v>
      </c>
      <c r="J55" s="18" t="s">
        <v>823</v>
      </c>
    </row>
    <row r="56" customFormat="false" ht="18.75" hidden="false" customHeight="true" outlineLevel="0" collapsed="false">
      <c r="A56" s="20" t="n">
        <v>52</v>
      </c>
      <c r="B56" s="21" t="s">
        <v>875</v>
      </c>
      <c r="C56" s="13" t="s">
        <v>508</v>
      </c>
      <c r="D56" s="21" t="s">
        <v>39</v>
      </c>
      <c r="E56" s="21" t="s">
        <v>67</v>
      </c>
      <c r="F56" s="22" t="n">
        <v>575</v>
      </c>
      <c r="G56" s="22" t="n">
        <v>0</v>
      </c>
      <c r="H56" s="22" t="n">
        <v>-254</v>
      </c>
      <c r="I56" s="22" t="n">
        <v>0</v>
      </c>
      <c r="J56" s="21" t="s">
        <v>823</v>
      </c>
    </row>
    <row r="57" customFormat="false" ht="18.75" hidden="false" customHeight="true" outlineLevel="0" collapsed="false">
      <c r="A57" s="17" t="n">
        <v>53</v>
      </c>
      <c r="B57" s="18" t="s">
        <v>876</v>
      </c>
      <c r="C57" s="9" t="s">
        <v>461</v>
      </c>
      <c r="D57" s="18" t="s">
        <v>39</v>
      </c>
      <c r="E57" s="18" t="s">
        <v>67</v>
      </c>
      <c r="F57" s="19" t="n">
        <v>800</v>
      </c>
      <c r="G57" s="19" t="n">
        <v>0</v>
      </c>
      <c r="H57" s="19" t="n">
        <v>-128</v>
      </c>
      <c r="I57" s="19" t="n">
        <v>0</v>
      </c>
      <c r="J57" s="18" t="s">
        <v>823</v>
      </c>
    </row>
    <row r="58" customFormat="false" ht="18.75" hidden="false" customHeight="true" outlineLevel="0" collapsed="false">
      <c r="A58" s="20" t="n">
        <v>54</v>
      </c>
      <c r="B58" s="21" t="s">
        <v>877</v>
      </c>
      <c r="C58" s="13" t="s">
        <v>462</v>
      </c>
      <c r="D58" s="21" t="s">
        <v>39</v>
      </c>
      <c r="E58" s="21" t="s">
        <v>67</v>
      </c>
      <c r="F58" s="22" t="n">
        <v>10</v>
      </c>
      <c r="G58" s="22" t="n">
        <v>0</v>
      </c>
      <c r="H58" s="22" t="n">
        <v>-1506</v>
      </c>
      <c r="I58" s="22" t="n">
        <v>0</v>
      </c>
      <c r="J58" s="21" t="s">
        <v>823</v>
      </c>
    </row>
    <row r="59" customFormat="false" ht="18.75" hidden="false" customHeight="true" outlineLevel="0" collapsed="false">
      <c r="A59" s="17" t="n">
        <v>55</v>
      </c>
      <c r="B59" s="18" t="s">
        <v>878</v>
      </c>
      <c r="C59" s="9" t="s">
        <v>497</v>
      </c>
      <c r="D59" s="18" t="s">
        <v>39</v>
      </c>
      <c r="E59" s="18" t="s">
        <v>67</v>
      </c>
      <c r="F59" s="19" t="n">
        <v>660</v>
      </c>
      <c r="G59" s="19" t="n">
        <v>0</v>
      </c>
      <c r="H59" s="19" t="n">
        <v>-20</v>
      </c>
      <c r="I59" s="19" t="n">
        <v>0</v>
      </c>
      <c r="J59" s="18" t="s">
        <v>823</v>
      </c>
    </row>
    <row r="60" customFormat="false" ht="18.75" hidden="false" customHeight="true" outlineLevel="0" collapsed="false">
      <c r="A60" s="20" t="n">
        <v>56</v>
      </c>
      <c r="B60" s="21" t="s">
        <v>879</v>
      </c>
      <c r="C60" s="13" t="s">
        <v>459</v>
      </c>
      <c r="D60" s="21" t="s">
        <v>39</v>
      </c>
      <c r="E60" s="21" t="s">
        <v>65</v>
      </c>
      <c r="F60" s="22" t="n">
        <v>16</v>
      </c>
      <c r="G60" s="22" t="n">
        <v>0</v>
      </c>
      <c r="H60" s="22" t="n">
        <v>-6132</v>
      </c>
      <c r="I60" s="22" t="n">
        <v>0</v>
      </c>
      <c r="J60" s="21" t="s">
        <v>823</v>
      </c>
    </row>
    <row r="61" customFormat="false" ht="18.75" hidden="false" customHeight="true" outlineLevel="0" collapsed="false">
      <c r="A61" s="17" t="n">
        <v>57</v>
      </c>
      <c r="B61" s="18" t="s">
        <v>880</v>
      </c>
      <c r="C61" s="9" t="s">
        <v>467</v>
      </c>
      <c r="D61" s="18" t="s">
        <v>39</v>
      </c>
      <c r="E61" s="18" t="s">
        <v>67</v>
      </c>
      <c r="F61" s="19" t="n">
        <v>12</v>
      </c>
      <c r="G61" s="19" t="n">
        <v>0</v>
      </c>
      <c r="H61" s="19" t="n">
        <v>-1054</v>
      </c>
      <c r="I61" s="19" t="n">
        <v>0</v>
      </c>
      <c r="J61" s="18" t="s">
        <v>823</v>
      </c>
    </row>
    <row r="62" customFormat="false" ht="18.75" hidden="false" customHeight="true" outlineLevel="0" collapsed="false">
      <c r="A62" s="20" t="n">
        <v>58</v>
      </c>
      <c r="B62" s="21" t="s">
        <v>881</v>
      </c>
      <c r="C62" s="13" t="s">
        <v>451</v>
      </c>
      <c r="D62" s="21" t="s">
        <v>39</v>
      </c>
      <c r="E62" s="21"/>
      <c r="F62" s="22" t="n">
        <v>1000</v>
      </c>
      <c r="G62" s="22" t="n">
        <v>0</v>
      </c>
      <c r="H62" s="22" t="n">
        <v>-5</v>
      </c>
      <c r="I62" s="22" t="n">
        <v>0</v>
      </c>
      <c r="J62" s="21" t="s">
        <v>823</v>
      </c>
    </row>
    <row r="63" customFormat="false" ht="18.75" hidden="false" customHeight="true" outlineLevel="0" collapsed="false">
      <c r="A63" s="17" t="n">
        <v>59</v>
      </c>
      <c r="B63" s="18" t="s">
        <v>882</v>
      </c>
      <c r="C63" s="9" t="s">
        <v>475</v>
      </c>
      <c r="D63" s="18" t="s">
        <v>39</v>
      </c>
      <c r="E63" s="18" t="s">
        <v>67</v>
      </c>
      <c r="F63" s="19" t="n">
        <v>1500</v>
      </c>
      <c r="G63" s="19" t="n">
        <v>0</v>
      </c>
      <c r="H63" s="19" t="n">
        <v>-13</v>
      </c>
      <c r="I63" s="19" t="n">
        <v>0</v>
      </c>
      <c r="J63" s="18" t="s">
        <v>823</v>
      </c>
    </row>
    <row r="64" customFormat="false" ht="18.75" hidden="false" customHeight="true" outlineLevel="0" collapsed="false">
      <c r="A64" s="20" t="n">
        <v>60</v>
      </c>
      <c r="B64" s="21" t="s">
        <v>883</v>
      </c>
      <c r="C64" s="13" t="s">
        <v>448</v>
      </c>
      <c r="D64" s="21" t="s">
        <v>39</v>
      </c>
      <c r="E64" s="21" t="s">
        <v>65</v>
      </c>
      <c r="F64" s="22" t="n">
        <v>18</v>
      </c>
      <c r="G64" s="22" t="n">
        <v>0</v>
      </c>
      <c r="H64" s="22" t="n">
        <v>-2062.75</v>
      </c>
      <c r="I64" s="22" t="n">
        <v>0</v>
      </c>
      <c r="J64" s="21" t="s">
        <v>823</v>
      </c>
    </row>
    <row r="65" customFormat="false" ht="18.75" hidden="false" customHeight="true" outlineLevel="0" collapsed="false">
      <c r="A65" s="17" t="n">
        <v>61</v>
      </c>
      <c r="B65" s="18" t="s">
        <v>884</v>
      </c>
      <c r="C65" s="9" t="s">
        <v>66</v>
      </c>
      <c r="D65" s="18" t="s">
        <v>39</v>
      </c>
      <c r="E65" s="18" t="s">
        <v>67</v>
      </c>
      <c r="F65" s="19" t="n">
        <v>295</v>
      </c>
      <c r="G65" s="19" t="n">
        <v>0</v>
      </c>
      <c r="H65" s="19" t="n">
        <v>-6673</v>
      </c>
      <c r="I65" s="19" t="n">
        <v>0</v>
      </c>
      <c r="J65" s="18" t="s">
        <v>823</v>
      </c>
    </row>
    <row r="66" customFormat="false" ht="18.75" hidden="false" customHeight="true" outlineLevel="0" collapsed="false">
      <c r="A66" s="20" t="n">
        <v>62</v>
      </c>
      <c r="B66" s="21" t="s">
        <v>885</v>
      </c>
      <c r="C66" s="13" t="s">
        <v>535</v>
      </c>
      <c r="D66" s="21" t="s">
        <v>39</v>
      </c>
      <c r="E66" s="21" t="s">
        <v>67</v>
      </c>
      <c r="F66" s="22" t="n">
        <v>248</v>
      </c>
      <c r="G66" s="22" t="n">
        <v>0</v>
      </c>
      <c r="H66" s="22" t="n">
        <v>-600</v>
      </c>
      <c r="I66" s="22" t="n">
        <v>0</v>
      </c>
      <c r="J66" s="21" t="s">
        <v>823</v>
      </c>
    </row>
    <row r="67" customFormat="false" ht="18.75" hidden="false" customHeight="true" outlineLevel="0" collapsed="false">
      <c r="A67" s="17" t="n">
        <v>63</v>
      </c>
      <c r="B67" s="18" t="s">
        <v>886</v>
      </c>
      <c r="C67" s="9" t="s">
        <v>69</v>
      </c>
      <c r="D67" s="18" t="s">
        <v>39</v>
      </c>
      <c r="E67" s="18" t="s">
        <v>67</v>
      </c>
      <c r="F67" s="19" t="n">
        <v>5500</v>
      </c>
      <c r="G67" s="19" t="n">
        <v>0</v>
      </c>
      <c r="H67" s="19" t="n">
        <v>-145</v>
      </c>
      <c r="I67" s="19" t="n">
        <v>0</v>
      </c>
      <c r="J67" s="18" t="s">
        <v>823</v>
      </c>
    </row>
    <row r="68" customFormat="false" ht="18.75" hidden="false" customHeight="true" outlineLevel="0" collapsed="false">
      <c r="A68" s="20" t="n">
        <v>64</v>
      </c>
      <c r="B68" s="21" t="s">
        <v>887</v>
      </c>
      <c r="C68" s="13" t="s">
        <v>466</v>
      </c>
      <c r="D68" s="21" t="s">
        <v>39</v>
      </c>
      <c r="E68" s="21" t="s">
        <v>65</v>
      </c>
      <c r="F68" s="22" t="n">
        <v>25</v>
      </c>
      <c r="G68" s="22" t="n">
        <v>0</v>
      </c>
      <c r="H68" s="22" t="n">
        <v>-3386.25</v>
      </c>
      <c r="I68" s="22" t="n">
        <v>0</v>
      </c>
      <c r="J68" s="21" t="s">
        <v>823</v>
      </c>
    </row>
    <row r="69" customFormat="false" ht="18.75" hidden="false" customHeight="true" outlineLevel="0" collapsed="false">
      <c r="A69" s="17" t="n">
        <v>65</v>
      </c>
      <c r="B69" s="18" t="s">
        <v>888</v>
      </c>
      <c r="C69" s="9" t="s">
        <v>889</v>
      </c>
      <c r="D69" s="18" t="s">
        <v>39</v>
      </c>
      <c r="E69" s="18"/>
      <c r="F69" s="19" t="n">
        <v>0</v>
      </c>
      <c r="G69" s="19" t="n">
        <v>0</v>
      </c>
      <c r="H69" s="19" t="n">
        <v>0</v>
      </c>
      <c r="I69" s="19" t="n">
        <v>0</v>
      </c>
      <c r="J69" s="18" t="s">
        <v>823</v>
      </c>
    </row>
    <row r="70" customFormat="false" ht="18.75" hidden="false" customHeight="true" outlineLevel="0" collapsed="false">
      <c r="A70" s="20" t="n">
        <v>66</v>
      </c>
      <c r="B70" s="21" t="s">
        <v>890</v>
      </c>
      <c r="C70" s="13" t="s">
        <v>520</v>
      </c>
      <c r="D70" s="21" t="s">
        <v>39</v>
      </c>
      <c r="E70" s="21"/>
      <c r="F70" s="22" t="n">
        <v>18000</v>
      </c>
      <c r="G70" s="22" t="n">
        <v>0</v>
      </c>
      <c r="H70" s="22" t="n">
        <v>-15</v>
      </c>
      <c r="I70" s="22" t="n">
        <v>0</v>
      </c>
      <c r="J70" s="21" t="s">
        <v>823</v>
      </c>
    </row>
    <row r="71" customFormat="false" ht="18.75" hidden="false" customHeight="true" outlineLevel="0" collapsed="false">
      <c r="A71" s="17" t="n">
        <v>67</v>
      </c>
      <c r="B71" s="18" t="s">
        <v>891</v>
      </c>
      <c r="C71" s="9" t="s">
        <v>454</v>
      </c>
      <c r="D71" s="18" t="s">
        <v>39</v>
      </c>
      <c r="E71" s="18" t="s">
        <v>67</v>
      </c>
      <c r="F71" s="19" t="n">
        <v>16400</v>
      </c>
      <c r="G71" s="19" t="n">
        <v>0</v>
      </c>
      <c r="H71" s="19" t="n">
        <v>-4</v>
      </c>
      <c r="I71" s="19" t="n">
        <v>0</v>
      </c>
      <c r="J71" s="18" t="s">
        <v>823</v>
      </c>
    </row>
    <row r="72" customFormat="false" ht="18.75" hidden="false" customHeight="true" outlineLevel="0" collapsed="false">
      <c r="A72" s="20" t="n">
        <v>68</v>
      </c>
      <c r="B72" s="21" t="s">
        <v>892</v>
      </c>
      <c r="C72" s="13" t="s">
        <v>450</v>
      </c>
      <c r="D72" s="21" t="s">
        <v>39</v>
      </c>
      <c r="E72" s="21" t="s">
        <v>67</v>
      </c>
      <c r="F72" s="22" t="n">
        <v>18500</v>
      </c>
      <c r="G72" s="22" t="n">
        <v>0</v>
      </c>
      <c r="H72" s="22" t="n">
        <v>-6</v>
      </c>
      <c r="I72" s="22" t="n">
        <v>0</v>
      </c>
      <c r="J72" s="21" t="s">
        <v>823</v>
      </c>
    </row>
    <row r="73" customFormat="false" ht="18.75" hidden="false" customHeight="true" outlineLevel="0" collapsed="false">
      <c r="A73" s="17" t="n">
        <v>69</v>
      </c>
      <c r="B73" s="18" t="s">
        <v>893</v>
      </c>
      <c r="C73" s="9" t="s">
        <v>496</v>
      </c>
      <c r="D73" s="18" t="s">
        <v>39</v>
      </c>
      <c r="E73" s="18" t="s">
        <v>67</v>
      </c>
      <c r="F73" s="19" t="n">
        <v>23000</v>
      </c>
      <c r="G73" s="19" t="n">
        <v>0</v>
      </c>
      <c r="H73" s="19" t="n">
        <v>-3</v>
      </c>
      <c r="I73" s="19" t="n">
        <v>0</v>
      </c>
      <c r="J73" s="18" t="s">
        <v>823</v>
      </c>
    </row>
    <row r="74" customFormat="false" ht="18.75" hidden="false" customHeight="true" outlineLevel="0" collapsed="false">
      <c r="A74" s="20" t="n">
        <v>70</v>
      </c>
      <c r="B74" s="21" t="s">
        <v>894</v>
      </c>
      <c r="C74" s="13" t="s">
        <v>70</v>
      </c>
      <c r="D74" s="21" t="s">
        <v>39</v>
      </c>
      <c r="E74" s="21" t="s">
        <v>67</v>
      </c>
      <c r="F74" s="22" t="n">
        <v>24000</v>
      </c>
      <c r="G74" s="22" t="n">
        <v>0</v>
      </c>
      <c r="H74" s="22" t="n">
        <v>-20</v>
      </c>
      <c r="I74" s="22" t="n">
        <v>0</v>
      </c>
      <c r="J74" s="21" t="s">
        <v>823</v>
      </c>
    </row>
    <row r="75" customFormat="false" ht="18.75" hidden="false" customHeight="true" outlineLevel="0" collapsed="false">
      <c r="A75" s="17" t="n">
        <v>71</v>
      </c>
      <c r="B75" s="18" t="s">
        <v>895</v>
      </c>
      <c r="C75" s="9" t="s">
        <v>455</v>
      </c>
      <c r="D75" s="18" t="s">
        <v>39</v>
      </c>
      <c r="E75" s="18" t="s">
        <v>67</v>
      </c>
      <c r="F75" s="19" t="n">
        <v>6</v>
      </c>
      <c r="G75" s="19" t="n">
        <v>0</v>
      </c>
      <c r="H75" s="19" t="n">
        <v>-4</v>
      </c>
      <c r="I75" s="19" t="n">
        <v>0</v>
      </c>
      <c r="J75" s="18" t="s">
        <v>823</v>
      </c>
    </row>
    <row r="76" customFormat="false" ht="18.75" hidden="false" customHeight="true" outlineLevel="0" collapsed="false">
      <c r="A76" s="20" t="n">
        <v>72</v>
      </c>
      <c r="B76" s="21" t="s">
        <v>896</v>
      </c>
      <c r="C76" s="13" t="s">
        <v>474</v>
      </c>
      <c r="D76" s="21" t="s">
        <v>39</v>
      </c>
      <c r="E76" s="21" t="s">
        <v>67</v>
      </c>
      <c r="F76" s="22" t="n">
        <v>23500</v>
      </c>
      <c r="G76" s="22" t="n">
        <v>0</v>
      </c>
      <c r="H76" s="22" t="n">
        <v>-3</v>
      </c>
      <c r="I76" s="22" t="n">
        <v>0</v>
      </c>
      <c r="J76" s="21" t="s">
        <v>823</v>
      </c>
    </row>
    <row r="77" customFormat="false" ht="18.75" hidden="false" customHeight="true" outlineLevel="0" collapsed="false">
      <c r="A77" s="17" t="n">
        <v>73</v>
      </c>
      <c r="B77" s="18" t="s">
        <v>897</v>
      </c>
      <c r="C77" s="9" t="s">
        <v>478</v>
      </c>
      <c r="D77" s="18" t="s">
        <v>39</v>
      </c>
      <c r="E77" s="18" t="s">
        <v>67</v>
      </c>
      <c r="F77" s="19" t="n">
        <v>2000</v>
      </c>
      <c r="G77" s="19" t="n">
        <v>0</v>
      </c>
      <c r="H77" s="19" t="n">
        <v>-28</v>
      </c>
      <c r="I77" s="19" t="n">
        <v>0</v>
      </c>
      <c r="J77" s="18" t="s">
        <v>823</v>
      </c>
    </row>
    <row r="78" customFormat="false" ht="18.75" hidden="false" customHeight="true" outlineLevel="0" collapsed="false">
      <c r="A78" s="20" t="n">
        <v>74</v>
      </c>
      <c r="B78" s="21" t="s">
        <v>898</v>
      </c>
      <c r="C78" s="13" t="s">
        <v>477</v>
      </c>
      <c r="D78" s="21" t="s">
        <v>39</v>
      </c>
      <c r="E78" s="21" t="s">
        <v>67</v>
      </c>
      <c r="F78" s="22" t="n">
        <v>2400</v>
      </c>
      <c r="G78" s="22" t="n">
        <v>0</v>
      </c>
      <c r="H78" s="22" t="n">
        <v>-23</v>
      </c>
      <c r="I78" s="22" t="n">
        <v>0</v>
      </c>
      <c r="J78" s="21" t="s">
        <v>823</v>
      </c>
    </row>
    <row r="79" customFormat="false" ht="18.75" hidden="false" customHeight="true" outlineLevel="0" collapsed="false">
      <c r="A79" s="17" t="n">
        <v>75</v>
      </c>
      <c r="B79" s="18" t="s">
        <v>899</v>
      </c>
      <c r="C79" s="9" t="s">
        <v>498</v>
      </c>
      <c r="D79" s="18" t="s">
        <v>39</v>
      </c>
      <c r="E79" s="18" t="s">
        <v>67</v>
      </c>
      <c r="F79" s="19" t="n">
        <v>130</v>
      </c>
      <c r="G79" s="19" t="n">
        <v>0</v>
      </c>
      <c r="H79" s="19" t="n">
        <v>-11</v>
      </c>
      <c r="I79" s="19" t="n">
        <v>0</v>
      </c>
      <c r="J79" s="18" t="s">
        <v>823</v>
      </c>
    </row>
    <row r="80" customFormat="false" ht="18.75" hidden="false" customHeight="true" outlineLevel="0" collapsed="false">
      <c r="A80" s="20" t="n">
        <v>76</v>
      </c>
      <c r="B80" s="21" t="s">
        <v>900</v>
      </c>
      <c r="C80" s="13" t="s">
        <v>473</v>
      </c>
      <c r="D80" s="21" t="s">
        <v>39</v>
      </c>
      <c r="E80" s="21" t="s">
        <v>67</v>
      </c>
      <c r="F80" s="22" t="n">
        <v>225</v>
      </c>
      <c r="G80" s="22" t="n">
        <v>0</v>
      </c>
      <c r="H80" s="22" t="n">
        <v>-300</v>
      </c>
      <c r="I80" s="22" t="n">
        <v>0</v>
      </c>
      <c r="J80" s="21" t="s">
        <v>823</v>
      </c>
    </row>
    <row r="81" customFormat="false" ht="18.75" hidden="false" customHeight="true" outlineLevel="0" collapsed="false">
      <c r="A81" s="17" t="n">
        <v>77</v>
      </c>
      <c r="B81" s="18" t="s">
        <v>901</v>
      </c>
      <c r="C81" s="9" t="s">
        <v>537</v>
      </c>
      <c r="D81" s="18" t="s">
        <v>39</v>
      </c>
      <c r="E81" s="18" t="s">
        <v>67</v>
      </c>
      <c r="F81" s="19" t="n">
        <v>290</v>
      </c>
      <c r="G81" s="19" t="n">
        <v>0</v>
      </c>
      <c r="H81" s="19" t="n">
        <v>-12</v>
      </c>
      <c r="I81" s="19" t="n">
        <v>0</v>
      </c>
      <c r="J81" s="18" t="s">
        <v>823</v>
      </c>
    </row>
    <row r="82" customFormat="false" ht="18.75" hidden="false" customHeight="true" outlineLevel="0" collapsed="false">
      <c r="A82" s="20" t="n">
        <v>78</v>
      </c>
      <c r="B82" s="21" t="s">
        <v>902</v>
      </c>
      <c r="C82" s="13" t="s">
        <v>476</v>
      </c>
      <c r="D82" s="21" t="s">
        <v>39</v>
      </c>
      <c r="E82" s="21" t="s">
        <v>67</v>
      </c>
      <c r="F82" s="22" t="n">
        <v>2400</v>
      </c>
      <c r="G82" s="22" t="n">
        <v>0</v>
      </c>
      <c r="H82" s="22" t="n">
        <v>-12</v>
      </c>
      <c r="I82" s="22" t="n">
        <v>0</v>
      </c>
      <c r="J82" s="21" t="s">
        <v>823</v>
      </c>
    </row>
    <row r="83" customFormat="false" ht="18.75" hidden="false" customHeight="true" outlineLevel="0" collapsed="false">
      <c r="A83" s="17" t="n">
        <v>79</v>
      </c>
      <c r="B83" s="18" t="s">
        <v>903</v>
      </c>
      <c r="C83" s="9" t="s">
        <v>482</v>
      </c>
      <c r="D83" s="18" t="s">
        <v>39</v>
      </c>
      <c r="E83" s="18" t="s">
        <v>67</v>
      </c>
      <c r="F83" s="19" t="n">
        <v>325</v>
      </c>
      <c r="G83" s="19" t="n">
        <v>0</v>
      </c>
      <c r="H83" s="19" t="n">
        <v>-10</v>
      </c>
      <c r="I83" s="19" t="n">
        <v>0</v>
      </c>
      <c r="J83" s="18" t="s">
        <v>823</v>
      </c>
    </row>
    <row r="84" customFormat="false" ht="18.75" hidden="false" customHeight="true" outlineLevel="0" collapsed="false">
      <c r="A84" s="20" t="n">
        <v>80</v>
      </c>
      <c r="B84" s="21" t="s">
        <v>904</v>
      </c>
      <c r="C84" s="13" t="s">
        <v>519</v>
      </c>
      <c r="D84" s="21" t="s">
        <v>39</v>
      </c>
      <c r="E84" s="21" t="s">
        <v>67</v>
      </c>
      <c r="F84" s="22" t="n">
        <v>2900</v>
      </c>
      <c r="G84" s="22" t="n">
        <v>0</v>
      </c>
      <c r="H84" s="22" t="n">
        <v>-10</v>
      </c>
      <c r="I84" s="22" t="n">
        <v>0</v>
      </c>
      <c r="J84" s="21" t="s">
        <v>823</v>
      </c>
    </row>
    <row r="85" customFormat="false" ht="18.75" hidden="false" customHeight="true" outlineLevel="0" collapsed="false">
      <c r="A85" s="17" t="n">
        <v>81</v>
      </c>
      <c r="B85" s="18" t="s">
        <v>905</v>
      </c>
      <c r="C85" s="9" t="s">
        <v>524</v>
      </c>
      <c r="D85" s="18" t="s">
        <v>39</v>
      </c>
      <c r="E85" s="18" t="s">
        <v>67</v>
      </c>
      <c r="F85" s="19" t="n">
        <v>800</v>
      </c>
      <c r="G85" s="19" t="n">
        <v>0</v>
      </c>
      <c r="H85" s="19" t="n">
        <v>-2</v>
      </c>
      <c r="I85" s="19" t="n">
        <v>0</v>
      </c>
      <c r="J85" s="18" t="s">
        <v>823</v>
      </c>
    </row>
    <row r="86" customFormat="false" ht="18.75" hidden="false" customHeight="true" outlineLevel="0" collapsed="false">
      <c r="A86" s="20" t="n">
        <v>82</v>
      </c>
      <c r="B86" s="21" t="s">
        <v>906</v>
      </c>
      <c r="C86" s="13" t="s">
        <v>456</v>
      </c>
      <c r="D86" s="21" t="s">
        <v>39</v>
      </c>
      <c r="E86" s="21" t="s">
        <v>65</v>
      </c>
      <c r="F86" s="22" t="n">
        <v>55</v>
      </c>
      <c r="G86" s="22" t="n">
        <v>0</v>
      </c>
      <c r="H86" s="22" t="n">
        <v>-2123.7</v>
      </c>
      <c r="I86" s="22" t="n">
        <v>0</v>
      </c>
      <c r="J86" s="21" t="s">
        <v>823</v>
      </c>
    </row>
    <row r="87" customFormat="false" ht="18.75" hidden="false" customHeight="true" outlineLevel="0" collapsed="false">
      <c r="A87" s="17" t="n">
        <v>83</v>
      </c>
      <c r="B87" s="18" t="s">
        <v>907</v>
      </c>
      <c r="C87" s="9" t="s">
        <v>457</v>
      </c>
      <c r="D87" s="18" t="s">
        <v>39</v>
      </c>
      <c r="E87" s="18" t="s">
        <v>67</v>
      </c>
      <c r="F87" s="19" t="n">
        <v>4100</v>
      </c>
      <c r="G87" s="19" t="n">
        <v>0</v>
      </c>
      <c r="H87" s="19" t="n">
        <v>-17</v>
      </c>
      <c r="I87" s="19" t="n">
        <v>0</v>
      </c>
      <c r="J87" s="18" t="s">
        <v>823</v>
      </c>
    </row>
    <row r="88" customFormat="false" ht="18.75" hidden="false" customHeight="true" outlineLevel="0" collapsed="false">
      <c r="A88" s="20" t="n">
        <v>84</v>
      </c>
      <c r="B88" s="21" t="s">
        <v>908</v>
      </c>
      <c r="C88" s="13" t="s">
        <v>458</v>
      </c>
      <c r="D88" s="21" t="s">
        <v>39</v>
      </c>
      <c r="E88" s="21" t="s">
        <v>67</v>
      </c>
      <c r="F88" s="22" t="n">
        <v>1700</v>
      </c>
      <c r="G88" s="22" t="n">
        <v>0</v>
      </c>
      <c r="H88" s="22" t="n">
        <v>-22</v>
      </c>
      <c r="I88" s="22" t="n">
        <v>0</v>
      </c>
      <c r="J88" s="21" t="s">
        <v>823</v>
      </c>
    </row>
    <row r="89" customFormat="false" ht="18.75" hidden="false" customHeight="true" outlineLevel="0" collapsed="false">
      <c r="A89" s="17" t="n">
        <v>85</v>
      </c>
      <c r="B89" s="18" t="s">
        <v>909</v>
      </c>
      <c r="C89" s="9" t="s">
        <v>453</v>
      </c>
      <c r="D89" s="18" t="s">
        <v>39</v>
      </c>
      <c r="E89" s="18"/>
      <c r="F89" s="19" t="n">
        <v>1600</v>
      </c>
      <c r="G89" s="19" t="n">
        <v>0</v>
      </c>
      <c r="H89" s="19" t="n">
        <v>-55</v>
      </c>
      <c r="I89" s="19" t="n">
        <v>0</v>
      </c>
      <c r="J89" s="18" t="s">
        <v>823</v>
      </c>
    </row>
    <row r="90" customFormat="false" ht="18.75" hidden="false" customHeight="true" outlineLevel="0" collapsed="false">
      <c r="A90" s="20" t="n">
        <v>86</v>
      </c>
      <c r="B90" s="21" t="s">
        <v>910</v>
      </c>
      <c r="C90" s="13" t="s">
        <v>911</v>
      </c>
      <c r="D90" s="21" t="s">
        <v>39</v>
      </c>
      <c r="E90" s="21" t="s">
        <v>67</v>
      </c>
      <c r="F90" s="22" t="n">
        <v>0</v>
      </c>
      <c r="G90" s="22" t="n">
        <v>0</v>
      </c>
      <c r="H90" s="22" t="n">
        <v>0</v>
      </c>
      <c r="I90" s="22" t="n">
        <v>0</v>
      </c>
      <c r="J90" s="21" t="s">
        <v>823</v>
      </c>
    </row>
    <row r="91" customFormat="false" ht="18.75" hidden="false" customHeight="true" outlineLevel="0" collapsed="false">
      <c r="A91" s="17" t="n">
        <v>87</v>
      </c>
      <c r="B91" s="18" t="s">
        <v>912</v>
      </c>
      <c r="C91" s="9" t="s">
        <v>452</v>
      </c>
      <c r="D91" s="18" t="s">
        <v>39</v>
      </c>
      <c r="E91" s="18" t="s">
        <v>67</v>
      </c>
      <c r="F91" s="19" t="n">
        <v>1125</v>
      </c>
      <c r="G91" s="19" t="n">
        <v>0</v>
      </c>
      <c r="H91" s="19" t="n">
        <v>-65</v>
      </c>
      <c r="I91" s="19" t="n">
        <v>0</v>
      </c>
      <c r="J91" s="18" t="s">
        <v>823</v>
      </c>
    </row>
    <row r="92" customFormat="false" ht="18.75" hidden="false" customHeight="true" outlineLevel="0" collapsed="false">
      <c r="A92" s="20" t="n">
        <v>88</v>
      </c>
      <c r="B92" s="21" t="s">
        <v>913</v>
      </c>
      <c r="C92" s="13" t="s">
        <v>536</v>
      </c>
      <c r="D92" s="21" t="s">
        <v>39</v>
      </c>
      <c r="E92" s="21" t="s">
        <v>67</v>
      </c>
      <c r="F92" s="22" t="n">
        <v>850</v>
      </c>
      <c r="G92" s="22" t="n">
        <v>0</v>
      </c>
      <c r="H92" s="22" t="n">
        <v>-1</v>
      </c>
      <c r="I92" s="22" t="n">
        <v>0</v>
      </c>
      <c r="J92" s="21" t="s">
        <v>823</v>
      </c>
    </row>
    <row r="93" customFormat="false" ht="18.75" hidden="false" customHeight="true" outlineLevel="0" collapsed="false">
      <c r="A93" s="17" t="n">
        <v>89</v>
      </c>
      <c r="B93" s="18" t="s">
        <v>914</v>
      </c>
      <c r="C93" s="9" t="s">
        <v>447</v>
      </c>
      <c r="D93" s="18" t="s">
        <v>39</v>
      </c>
      <c r="E93" s="18" t="s">
        <v>67</v>
      </c>
      <c r="F93" s="19" t="n">
        <v>6200</v>
      </c>
      <c r="G93" s="19" t="n">
        <v>0</v>
      </c>
      <c r="H93" s="19" t="n">
        <v>-23</v>
      </c>
      <c r="I93" s="19" t="n">
        <v>0</v>
      </c>
      <c r="J93" s="18" t="s">
        <v>823</v>
      </c>
    </row>
    <row r="94" customFormat="false" ht="18.75" hidden="false" customHeight="true" outlineLevel="0" collapsed="false">
      <c r="A94" s="20" t="n">
        <v>90</v>
      </c>
      <c r="B94" s="21" t="s">
        <v>915</v>
      </c>
      <c r="C94" s="13" t="s">
        <v>465</v>
      </c>
      <c r="D94" s="21" t="s">
        <v>39</v>
      </c>
      <c r="E94" s="21"/>
      <c r="F94" s="22" t="n">
        <v>5700</v>
      </c>
      <c r="G94" s="22" t="n">
        <v>0</v>
      </c>
      <c r="H94" s="22" t="n">
        <v>-3</v>
      </c>
      <c r="I94" s="22" t="n">
        <v>0</v>
      </c>
      <c r="J94" s="21" t="s">
        <v>823</v>
      </c>
    </row>
    <row r="95" customFormat="false" ht="18.75" hidden="false" customHeight="true" outlineLevel="0" collapsed="false">
      <c r="A95" s="17" t="n">
        <v>91</v>
      </c>
      <c r="B95" s="18" t="s">
        <v>916</v>
      </c>
      <c r="C95" s="9" t="s">
        <v>464</v>
      </c>
      <c r="D95" s="18" t="s">
        <v>39</v>
      </c>
      <c r="E95" s="18"/>
      <c r="F95" s="19" t="n">
        <v>6000</v>
      </c>
      <c r="G95" s="19" t="n">
        <v>0</v>
      </c>
      <c r="H95" s="19" t="n">
        <v>-2</v>
      </c>
      <c r="I95" s="19" t="n">
        <v>0</v>
      </c>
      <c r="J95" s="18" t="s">
        <v>823</v>
      </c>
    </row>
    <row r="96" customFormat="false" ht="18.75" hidden="false" customHeight="true" outlineLevel="0" collapsed="false">
      <c r="A96" s="20" t="n">
        <v>92</v>
      </c>
      <c r="B96" s="21" t="s">
        <v>917</v>
      </c>
      <c r="C96" s="13" t="s">
        <v>460</v>
      </c>
      <c r="D96" s="21" t="s">
        <v>39</v>
      </c>
      <c r="E96" s="21" t="s">
        <v>67</v>
      </c>
      <c r="F96" s="22" t="n">
        <v>2500</v>
      </c>
      <c r="G96" s="22" t="n">
        <v>0</v>
      </c>
      <c r="H96" s="22" t="n">
        <v>-65</v>
      </c>
      <c r="I96" s="22" t="n">
        <v>0</v>
      </c>
      <c r="J96" s="21" t="s">
        <v>823</v>
      </c>
    </row>
    <row r="97" customFormat="false" ht="18.75" hidden="false" customHeight="true" outlineLevel="0" collapsed="false">
      <c r="A97" s="17" t="n">
        <v>93</v>
      </c>
      <c r="B97" s="18" t="s">
        <v>918</v>
      </c>
      <c r="C97" s="9" t="s">
        <v>503</v>
      </c>
      <c r="D97" s="18" t="s">
        <v>39</v>
      </c>
      <c r="E97" s="18"/>
      <c r="F97" s="19" t="n">
        <v>57000</v>
      </c>
      <c r="G97" s="19" t="n">
        <v>0</v>
      </c>
      <c r="H97" s="19" t="n">
        <v>-1</v>
      </c>
      <c r="I97" s="19" t="n">
        <v>0</v>
      </c>
      <c r="J97" s="18" t="s">
        <v>823</v>
      </c>
    </row>
    <row r="98" customFormat="false" ht="18.75" hidden="false" customHeight="true" outlineLevel="0" collapsed="false">
      <c r="A98" s="20" t="n">
        <v>94</v>
      </c>
      <c r="B98" s="21" t="s">
        <v>919</v>
      </c>
      <c r="C98" s="13" t="s">
        <v>468</v>
      </c>
      <c r="D98" s="21" t="s">
        <v>39</v>
      </c>
      <c r="E98" s="21" t="s">
        <v>67</v>
      </c>
      <c r="F98" s="22" t="n">
        <v>1500</v>
      </c>
      <c r="G98" s="22" t="n">
        <v>0</v>
      </c>
      <c r="H98" s="22" t="n">
        <v>-55</v>
      </c>
      <c r="I98" s="22" t="n">
        <v>0</v>
      </c>
      <c r="J98" s="21" t="s">
        <v>823</v>
      </c>
    </row>
    <row r="99" customFormat="false" ht="18.75" hidden="false" customHeight="true" outlineLevel="0" collapsed="false">
      <c r="A99" s="17" t="n">
        <v>95</v>
      </c>
      <c r="B99" s="18" t="s">
        <v>920</v>
      </c>
      <c r="C99" s="9" t="s">
        <v>492</v>
      </c>
      <c r="D99" s="18" t="s">
        <v>39</v>
      </c>
      <c r="E99" s="18" t="s">
        <v>67</v>
      </c>
      <c r="F99" s="19" t="n">
        <v>1500</v>
      </c>
      <c r="G99" s="19" t="n">
        <v>0</v>
      </c>
      <c r="H99" s="19" t="n">
        <v>-29</v>
      </c>
      <c r="I99" s="19" t="n">
        <v>0</v>
      </c>
      <c r="J99" s="18" t="s">
        <v>823</v>
      </c>
    </row>
    <row r="100" customFormat="false" ht="18.75" hidden="false" customHeight="true" outlineLevel="0" collapsed="false">
      <c r="A100" s="20" t="n">
        <v>96</v>
      </c>
      <c r="B100" s="21" t="s">
        <v>921</v>
      </c>
      <c r="C100" s="13" t="s">
        <v>469</v>
      </c>
      <c r="D100" s="21" t="s">
        <v>39</v>
      </c>
      <c r="E100" s="21"/>
      <c r="F100" s="22" t="n">
        <v>2250</v>
      </c>
      <c r="G100" s="22" t="n">
        <v>0</v>
      </c>
      <c r="H100" s="22" t="n">
        <v>-21</v>
      </c>
      <c r="I100" s="22" t="n">
        <v>0</v>
      </c>
      <c r="J100" s="21" t="s">
        <v>823</v>
      </c>
    </row>
    <row r="101" customFormat="false" ht="18.75" hidden="false" customHeight="true" outlineLevel="0" collapsed="false">
      <c r="A101" s="17" t="n">
        <v>97</v>
      </c>
      <c r="B101" s="18" t="s">
        <v>922</v>
      </c>
      <c r="C101" s="9" t="s">
        <v>490</v>
      </c>
      <c r="D101" s="18" t="s">
        <v>39</v>
      </c>
      <c r="E101" s="18" t="s">
        <v>67</v>
      </c>
      <c r="F101" s="19" t="n">
        <v>1850</v>
      </c>
      <c r="G101" s="19" t="n">
        <v>0</v>
      </c>
      <c r="H101" s="19" t="n">
        <v>-2204</v>
      </c>
      <c r="I101" s="19" t="n">
        <v>0</v>
      </c>
      <c r="J101" s="18" t="s">
        <v>823</v>
      </c>
    </row>
    <row r="102" customFormat="false" ht="18.75" hidden="false" customHeight="true" outlineLevel="0" collapsed="false">
      <c r="A102" s="20" t="n">
        <v>98</v>
      </c>
      <c r="B102" s="21" t="s">
        <v>923</v>
      </c>
      <c r="C102" s="13" t="s">
        <v>507</v>
      </c>
      <c r="D102" s="21" t="s">
        <v>39</v>
      </c>
      <c r="E102" s="21" t="s">
        <v>67</v>
      </c>
      <c r="F102" s="22" t="n">
        <v>9</v>
      </c>
      <c r="G102" s="22" t="n">
        <v>0</v>
      </c>
      <c r="H102" s="22" t="n">
        <v>-5296</v>
      </c>
      <c r="I102" s="22" t="n">
        <v>0</v>
      </c>
      <c r="J102" s="21" t="s">
        <v>823</v>
      </c>
    </row>
    <row r="103" customFormat="false" ht="18.75" hidden="false" customHeight="true" outlineLevel="0" collapsed="false">
      <c r="A103" s="17" t="n">
        <v>99</v>
      </c>
      <c r="B103" s="18" t="s">
        <v>924</v>
      </c>
      <c r="C103" s="9" t="s">
        <v>491</v>
      </c>
      <c r="D103" s="18" t="s">
        <v>39</v>
      </c>
      <c r="E103" s="18" t="s">
        <v>67</v>
      </c>
      <c r="F103" s="19" t="n">
        <v>2300</v>
      </c>
      <c r="G103" s="19" t="n">
        <v>0</v>
      </c>
      <c r="H103" s="19" t="n">
        <v>-3</v>
      </c>
      <c r="I103" s="19" t="n">
        <v>0</v>
      </c>
      <c r="J103" s="18" t="s">
        <v>823</v>
      </c>
    </row>
    <row r="104" customFormat="false" ht="18.75" hidden="false" customHeight="true" outlineLevel="0" collapsed="false">
      <c r="A104" s="20" t="n">
        <v>100</v>
      </c>
      <c r="B104" s="21" t="s">
        <v>925</v>
      </c>
      <c r="C104" s="13" t="s">
        <v>533</v>
      </c>
      <c r="D104" s="21" t="s">
        <v>39</v>
      </c>
      <c r="E104" s="21" t="s">
        <v>67</v>
      </c>
      <c r="F104" s="22" t="n">
        <v>0</v>
      </c>
      <c r="G104" s="22" t="n">
        <v>0</v>
      </c>
      <c r="H104" s="22" t="n">
        <v>-2</v>
      </c>
      <c r="I104" s="22" t="n">
        <v>0</v>
      </c>
      <c r="J104" s="21" t="s">
        <v>823</v>
      </c>
    </row>
    <row r="105" customFormat="false" ht="18.75" hidden="false" customHeight="true" outlineLevel="0" collapsed="false">
      <c r="A105" s="17" t="n">
        <v>101</v>
      </c>
      <c r="B105" s="18" t="s">
        <v>926</v>
      </c>
      <c r="C105" s="9" t="s">
        <v>499</v>
      </c>
      <c r="D105" s="18" t="s">
        <v>39</v>
      </c>
      <c r="E105" s="18" t="s">
        <v>67</v>
      </c>
      <c r="F105" s="19" t="n">
        <v>2650</v>
      </c>
      <c r="G105" s="19" t="n">
        <v>0</v>
      </c>
      <c r="H105" s="19" t="n">
        <v>-8</v>
      </c>
      <c r="I105" s="19" t="n">
        <v>0</v>
      </c>
      <c r="J105" s="18" t="s">
        <v>823</v>
      </c>
    </row>
    <row r="106" customFormat="false" ht="18.75" hidden="false" customHeight="true" outlineLevel="0" collapsed="false">
      <c r="A106" s="20" t="n">
        <v>102</v>
      </c>
      <c r="B106" s="21" t="s">
        <v>927</v>
      </c>
      <c r="C106" s="13" t="s">
        <v>502</v>
      </c>
      <c r="D106" s="21" t="s">
        <v>39</v>
      </c>
      <c r="E106" s="21"/>
      <c r="F106" s="22" t="n">
        <v>3450</v>
      </c>
      <c r="G106" s="22" t="n">
        <v>0</v>
      </c>
      <c r="H106" s="22" t="n">
        <v>-2</v>
      </c>
      <c r="I106" s="22" t="n">
        <v>0</v>
      </c>
      <c r="J106" s="21" t="s">
        <v>823</v>
      </c>
    </row>
    <row r="107" customFormat="false" ht="18.75" hidden="false" customHeight="true" outlineLevel="0" collapsed="false">
      <c r="A107" s="17" t="n">
        <v>103</v>
      </c>
      <c r="B107" s="18" t="s">
        <v>928</v>
      </c>
      <c r="C107" s="9" t="s">
        <v>505</v>
      </c>
      <c r="D107" s="18" t="s">
        <v>39</v>
      </c>
      <c r="E107" s="18" t="s">
        <v>67</v>
      </c>
      <c r="F107" s="19" t="n">
        <v>460</v>
      </c>
      <c r="G107" s="19" t="n">
        <v>0</v>
      </c>
      <c r="H107" s="19" t="n">
        <v>-34</v>
      </c>
      <c r="I107" s="19" t="n">
        <v>0</v>
      </c>
      <c r="J107" s="18" t="s">
        <v>823</v>
      </c>
    </row>
    <row r="108" customFormat="false" ht="18.75" hidden="false" customHeight="true" outlineLevel="0" collapsed="false">
      <c r="A108" s="20" t="n">
        <v>104</v>
      </c>
      <c r="B108" s="21" t="s">
        <v>929</v>
      </c>
      <c r="C108" s="13" t="s">
        <v>74</v>
      </c>
      <c r="D108" s="21" t="s">
        <v>39</v>
      </c>
      <c r="E108" s="21" t="s">
        <v>67</v>
      </c>
      <c r="F108" s="22" t="n">
        <v>12000</v>
      </c>
      <c r="G108" s="22" t="n">
        <v>0</v>
      </c>
      <c r="H108" s="22" t="n">
        <v>-346</v>
      </c>
      <c r="I108" s="22" t="n">
        <v>0</v>
      </c>
      <c r="J108" s="21" t="s">
        <v>823</v>
      </c>
    </row>
    <row r="109" customFormat="false" ht="18.75" hidden="false" customHeight="true" outlineLevel="0" collapsed="false">
      <c r="A109" s="17" t="n">
        <v>105</v>
      </c>
      <c r="B109" s="18" t="s">
        <v>930</v>
      </c>
      <c r="C109" s="9" t="s">
        <v>541</v>
      </c>
      <c r="D109" s="18" t="s">
        <v>39</v>
      </c>
      <c r="E109" s="18" t="s">
        <v>65</v>
      </c>
      <c r="F109" s="19" t="n">
        <v>24.4</v>
      </c>
      <c r="G109" s="19" t="n">
        <v>0</v>
      </c>
      <c r="H109" s="19" t="n">
        <v>-65</v>
      </c>
      <c r="I109" s="19" t="n">
        <v>0</v>
      </c>
      <c r="J109" s="18" t="s">
        <v>823</v>
      </c>
    </row>
    <row r="110" customFormat="false" ht="18.75" hidden="false" customHeight="true" outlineLevel="0" collapsed="false">
      <c r="A110" s="20" t="n">
        <v>106</v>
      </c>
      <c r="B110" s="21" t="s">
        <v>931</v>
      </c>
      <c r="C110" s="13" t="s">
        <v>64</v>
      </c>
      <c r="D110" s="21" t="s">
        <v>39</v>
      </c>
      <c r="E110" s="21" t="s">
        <v>65</v>
      </c>
      <c r="F110" s="22" t="n">
        <v>16.75</v>
      </c>
      <c r="G110" s="22" t="n">
        <v>0</v>
      </c>
      <c r="H110" s="22" t="n">
        <v>-310973.75</v>
      </c>
      <c r="I110" s="22" t="n">
        <v>0</v>
      </c>
      <c r="J110" s="21" t="s">
        <v>823</v>
      </c>
    </row>
    <row r="111" customFormat="false" ht="18.75" hidden="false" customHeight="true" outlineLevel="0" collapsed="false">
      <c r="A111" s="17" t="n">
        <v>107</v>
      </c>
      <c r="B111" s="18" t="s">
        <v>932</v>
      </c>
      <c r="C111" s="9" t="s">
        <v>501</v>
      </c>
      <c r="D111" s="18" t="s">
        <v>39</v>
      </c>
      <c r="E111" s="18" t="s">
        <v>65</v>
      </c>
      <c r="F111" s="19" t="n">
        <v>15.5</v>
      </c>
      <c r="G111" s="19" t="n">
        <v>0</v>
      </c>
      <c r="H111" s="19" t="n">
        <v>-12430.25</v>
      </c>
      <c r="I111" s="19" t="n">
        <v>0</v>
      </c>
      <c r="J111" s="18" t="s">
        <v>823</v>
      </c>
    </row>
    <row r="112" customFormat="false" ht="21.75" hidden="false" customHeight="true" outlineLevel="0" collapsed="false">
      <c r="A112" s="25"/>
      <c r="B112" s="25"/>
      <c r="C112" s="25"/>
      <c r="D112" s="25"/>
      <c r="E112" s="25"/>
      <c r="F112" s="25"/>
      <c r="G112" s="26" t="s">
        <v>437</v>
      </c>
      <c r="H112" s="27" t="n">
        <f aca="false">SUM(H5:H111)</f>
        <v>-523824.35</v>
      </c>
      <c r="I112" s="27" t="n">
        <f aca="false">SUM(I5:I111)</f>
        <v>0</v>
      </c>
      <c r="J112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28"/>
    <col collapsed="false" customWidth="true" hidden="false" outlineLevel="0" max="5" min="5" style="0" width="15"/>
    <col collapsed="false" customWidth="true" hidden="false" outlineLevel="0" max="6" min="6" style="0" width="57"/>
    <col collapsed="false" customWidth="true" hidden="false" outlineLevel="0" max="8" min="7" style="0" width="22"/>
    <col collapsed="false" customWidth="true" hidden="false" outlineLevel="0" max="9" min="9" style="0" width="21"/>
    <col collapsed="false" customWidth="true" hidden="false" outlineLevel="0" max="10" min="10" style="0" width="22"/>
    <col collapsed="false" customWidth="true" hidden="false" outlineLevel="0" max="11" min="11" style="0" width="59"/>
  </cols>
  <sheetData>
    <row r="1" customFormat="false" ht="18.55" hidden="false" customHeight="false" outlineLevel="0" collapsed="false">
      <c r="A1" s="1" t="s">
        <v>933</v>
      </c>
    </row>
    <row r="2" customFormat="false" ht="15" hidden="false" customHeight="false" outlineLevel="0" collapsed="false">
      <c r="A2" s="2" t="s">
        <v>934</v>
      </c>
    </row>
    <row r="4" customFormat="false" ht="24" hidden="false" customHeight="true" outlineLevel="0" collapsed="false">
      <c r="A4" s="5" t="s">
        <v>79</v>
      </c>
      <c r="B4" s="5" t="s">
        <v>935</v>
      </c>
      <c r="C4" s="5" t="s">
        <v>81</v>
      </c>
      <c r="D4" s="5" t="s">
        <v>545</v>
      </c>
      <c r="E4" s="5" t="s">
        <v>936</v>
      </c>
      <c r="F4" s="5" t="s">
        <v>546</v>
      </c>
      <c r="G4" s="5" t="s">
        <v>937</v>
      </c>
      <c r="H4" s="5" t="s">
        <v>938</v>
      </c>
      <c r="I4" s="5" t="s">
        <v>939</v>
      </c>
      <c r="J4" s="5" t="s">
        <v>86</v>
      </c>
      <c r="K4" s="5" t="s">
        <v>940</v>
      </c>
    </row>
    <row r="5" customFormat="false" ht="18.75" hidden="false" customHeight="true" outlineLevel="0" collapsed="false">
      <c r="A5" s="17" t="n">
        <v>1</v>
      </c>
      <c r="B5" s="17" t="n">
        <v>1</v>
      </c>
      <c r="C5" s="23" t="s">
        <v>89</v>
      </c>
      <c r="D5" s="18" t="s">
        <v>941</v>
      </c>
      <c r="E5" s="18" t="s">
        <v>88</v>
      </c>
      <c r="F5" s="9" t="s">
        <v>48</v>
      </c>
      <c r="G5" s="19" t="n">
        <v>30000</v>
      </c>
      <c r="H5" s="19" t="n">
        <v>0</v>
      </c>
      <c r="I5" s="19" t="n">
        <v>102400</v>
      </c>
      <c r="J5" s="18" t="s">
        <v>90</v>
      </c>
      <c r="K5" s="9"/>
    </row>
    <row r="6" customFormat="false" ht="18.75" hidden="false" customHeight="true" outlineLevel="0" collapsed="false">
      <c r="A6" s="20" t="n">
        <v>2</v>
      </c>
      <c r="B6" s="20" t="n">
        <v>2</v>
      </c>
      <c r="C6" s="24" t="s">
        <v>89</v>
      </c>
      <c r="D6" s="21" t="s">
        <v>549</v>
      </c>
      <c r="E6" s="21" t="s">
        <v>88</v>
      </c>
      <c r="F6" s="13" t="s">
        <v>48</v>
      </c>
      <c r="G6" s="22" t="n">
        <v>20000</v>
      </c>
      <c r="H6" s="22" t="n">
        <v>0</v>
      </c>
      <c r="I6" s="22" t="n">
        <v>0</v>
      </c>
      <c r="J6" s="21" t="s">
        <v>90</v>
      </c>
      <c r="K6" s="13"/>
    </row>
    <row r="7" customFormat="false" ht="18.75" hidden="false" customHeight="true" outlineLevel="0" collapsed="false">
      <c r="A7" s="17" t="n">
        <v>3</v>
      </c>
      <c r="B7" s="17" t="n">
        <v>3</v>
      </c>
      <c r="C7" s="23" t="s">
        <v>92</v>
      </c>
      <c r="D7" s="18" t="s">
        <v>941</v>
      </c>
      <c r="E7" s="18" t="s">
        <v>91</v>
      </c>
      <c r="F7" s="9" t="s">
        <v>54</v>
      </c>
      <c r="G7" s="19" t="n">
        <v>50000</v>
      </c>
      <c r="H7" s="19" t="n">
        <v>0</v>
      </c>
      <c r="I7" s="19" t="n">
        <v>63490</v>
      </c>
      <c r="J7" s="18" t="s">
        <v>90</v>
      </c>
      <c r="K7" s="9"/>
    </row>
    <row r="8" customFormat="false" ht="18.75" hidden="false" customHeight="true" outlineLevel="0" collapsed="false">
      <c r="A8" s="20" t="n">
        <v>4</v>
      </c>
      <c r="B8" s="20" t="n">
        <v>4</v>
      </c>
      <c r="C8" s="24" t="s">
        <v>92</v>
      </c>
      <c r="D8" s="21" t="s">
        <v>941</v>
      </c>
      <c r="E8" s="21" t="s">
        <v>93</v>
      </c>
      <c r="F8" s="13" t="s">
        <v>94</v>
      </c>
      <c r="G8" s="22" t="n">
        <v>0</v>
      </c>
      <c r="H8" s="22" t="n">
        <v>0</v>
      </c>
      <c r="I8" s="22" t="n">
        <v>15709.5</v>
      </c>
      <c r="J8" s="21" t="s">
        <v>90</v>
      </c>
      <c r="K8" s="13"/>
    </row>
    <row r="9" customFormat="false" ht="18.75" hidden="false" customHeight="true" outlineLevel="0" collapsed="false">
      <c r="A9" s="17" t="n">
        <v>5</v>
      </c>
      <c r="B9" s="17" t="n">
        <v>5</v>
      </c>
      <c r="C9" s="23" t="s">
        <v>92</v>
      </c>
      <c r="D9" s="18" t="s">
        <v>941</v>
      </c>
      <c r="E9" s="18" t="s">
        <v>95</v>
      </c>
      <c r="F9" s="9" t="s">
        <v>96</v>
      </c>
      <c r="G9" s="19" t="n">
        <v>0</v>
      </c>
      <c r="H9" s="19" t="n">
        <v>0</v>
      </c>
      <c r="I9" s="19" t="n">
        <v>50000</v>
      </c>
      <c r="J9" s="18" t="s">
        <v>90</v>
      </c>
      <c r="K9" s="9"/>
    </row>
    <row r="10" customFormat="false" ht="18.75" hidden="false" customHeight="true" outlineLevel="0" collapsed="false">
      <c r="A10" s="20" t="n">
        <v>6</v>
      </c>
      <c r="B10" s="20" t="n">
        <v>6</v>
      </c>
      <c r="C10" s="24" t="s">
        <v>98</v>
      </c>
      <c r="D10" s="21" t="s">
        <v>941</v>
      </c>
      <c r="E10" s="21" t="s">
        <v>97</v>
      </c>
      <c r="F10" s="13" t="s">
        <v>99</v>
      </c>
      <c r="G10" s="22" t="n">
        <v>2000</v>
      </c>
      <c r="H10" s="22" t="n">
        <v>0</v>
      </c>
      <c r="I10" s="22" t="n">
        <v>34000</v>
      </c>
      <c r="J10" s="21" t="s">
        <v>90</v>
      </c>
      <c r="K10" s="13"/>
    </row>
    <row r="11" customFormat="false" ht="18.75" hidden="false" customHeight="true" outlineLevel="0" collapsed="false">
      <c r="A11" s="17" t="n">
        <v>7</v>
      </c>
      <c r="B11" s="17" t="n">
        <v>8</v>
      </c>
      <c r="C11" s="23" t="s">
        <v>101</v>
      </c>
      <c r="D11" s="18" t="s">
        <v>941</v>
      </c>
      <c r="E11" s="18" t="s">
        <v>100</v>
      </c>
      <c r="F11" s="9" t="s">
        <v>44</v>
      </c>
      <c r="G11" s="19" t="n">
        <v>0</v>
      </c>
      <c r="H11" s="19" t="n">
        <v>0</v>
      </c>
      <c r="I11" s="19" t="n">
        <v>28647.5</v>
      </c>
      <c r="J11" s="18" t="s">
        <v>90</v>
      </c>
      <c r="K11" s="9"/>
    </row>
    <row r="12" customFormat="false" ht="18.75" hidden="false" customHeight="true" outlineLevel="0" collapsed="false">
      <c r="A12" s="20" t="n">
        <v>8</v>
      </c>
      <c r="B12" s="20" t="n">
        <v>9</v>
      </c>
      <c r="C12" s="24" t="s">
        <v>103</v>
      </c>
      <c r="D12" s="21" t="s">
        <v>941</v>
      </c>
      <c r="E12" s="21" t="s">
        <v>102</v>
      </c>
      <c r="F12" s="13" t="s">
        <v>50</v>
      </c>
      <c r="G12" s="22" t="n">
        <v>73000</v>
      </c>
      <c r="H12" s="22" t="n">
        <v>0</v>
      </c>
      <c r="I12" s="22" t="n">
        <v>50000</v>
      </c>
      <c r="J12" s="21" t="s">
        <v>90</v>
      </c>
      <c r="K12" s="13" t="s">
        <v>104</v>
      </c>
    </row>
    <row r="13" customFormat="false" ht="18.75" hidden="false" customHeight="true" outlineLevel="0" collapsed="false">
      <c r="A13" s="17" t="n">
        <v>9</v>
      </c>
      <c r="B13" s="17" t="n">
        <v>10</v>
      </c>
      <c r="C13" s="23" t="s">
        <v>106</v>
      </c>
      <c r="D13" s="18" t="s">
        <v>941</v>
      </c>
      <c r="E13" s="18" t="s">
        <v>105</v>
      </c>
      <c r="F13" s="9" t="s">
        <v>107</v>
      </c>
      <c r="G13" s="19" t="n">
        <v>24000</v>
      </c>
      <c r="H13" s="19" t="n">
        <v>0</v>
      </c>
      <c r="I13" s="19" t="n">
        <v>21600</v>
      </c>
      <c r="J13" s="18" t="s">
        <v>90</v>
      </c>
      <c r="K13" s="9"/>
    </row>
    <row r="14" customFormat="false" ht="18.75" hidden="false" customHeight="true" outlineLevel="0" collapsed="false">
      <c r="A14" s="20" t="n">
        <v>10</v>
      </c>
      <c r="B14" s="20" t="n">
        <v>11</v>
      </c>
      <c r="C14" s="24" t="s">
        <v>109</v>
      </c>
      <c r="D14" s="21" t="s">
        <v>941</v>
      </c>
      <c r="E14" s="21" t="s">
        <v>108</v>
      </c>
      <c r="F14" s="13" t="s">
        <v>110</v>
      </c>
      <c r="G14" s="22" t="n">
        <v>65500</v>
      </c>
      <c r="H14" s="22" t="n">
        <v>0</v>
      </c>
      <c r="I14" s="22" t="n">
        <v>0</v>
      </c>
      <c r="J14" s="21" t="s">
        <v>90</v>
      </c>
      <c r="K14" s="13"/>
    </row>
    <row r="15" customFormat="false" ht="18.75" hidden="false" customHeight="true" outlineLevel="0" collapsed="false">
      <c r="A15" s="17" t="n">
        <v>11</v>
      </c>
      <c r="B15" s="17" t="n">
        <v>12</v>
      </c>
      <c r="C15" s="23" t="s">
        <v>112</v>
      </c>
      <c r="D15" s="18" t="s">
        <v>941</v>
      </c>
      <c r="E15" s="18" t="s">
        <v>111</v>
      </c>
      <c r="F15" s="9" t="s">
        <v>44</v>
      </c>
      <c r="G15" s="19" t="n">
        <v>58314</v>
      </c>
      <c r="H15" s="19" t="n">
        <v>0</v>
      </c>
      <c r="I15" s="19" t="n">
        <v>133263.94</v>
      </c>
      <c r="J15" s="18" t="s">
        <v>90</v>
      </c>
      <c r="K15" s="9"/>
    </row>
    <row r="16" customFormat="false" ht="18.75" hidden="false" customHeight="true" outlineLevel="0" collapsed="false">
      <c r="A16" s="20" t="n">
        <v>12</v>
      </c>
      <c r="B16" s="20" t="n">
        <v>13</v>
      </c>
      <c r="C16" s="24" t="s">
        <v>114</v>
      </c>
      <c r="D16" s="21" t="s">
        <v>941</v>
      </c>
      <c r="E16" s="21" t="s">
        <v>113</v>
      </c>
      <c r="F16" s="13" t="s">
        <v>48</v>
      </c>
      <c r="G16" s="22" t="n">
        <v>34000</v>
      </c>
      <c r="H16" s="22" t="n">
        <v>0</v>
      </c>
      <c r="I16" s="22" t="n">
        <v>54000</v>
      </c>
      <c r="J16" s="21" t="s">
        <v>90</v>
      </c>
      <c r="K16" s="13"/>
    </row>
    <row r="17" customFormat="false" ht="18.75" hidden="false" customHeight="true" outlineLevel="0" collapsed="false">
      <c r="A17" s="17" t="n">
        <v>13</v>
      </c>
      <c r="B17" s="17" t="n">
        <v>14</v>
      </c>
      <c r="C17" s="23" t="s">
        <v>114</v>
      </c>
      <c r="D17" s="18" t="s">
        <v>941</v>
      </c>
      <c r="E17" s="18" t="s">
        <v>115</v>
      </c>
      <c r="F17" s="9" t="s">
        <v>116</v>
      </c>
      <c r="G17" s="19" t="n">
        <v>50000</v>
      </c>
      <c r="H17" s="19" t="n">
        <v>0</v>
      </c>
      <c r="I17" s="19" t="n">
        <v>50000</v>
      </c>
      <c r="J17" s="18" t="s">
        <v>90</v>
      </c>
      <c r="K17" s="9"/>
    </row>
    <row r="18" customFormat="false" ht="18.75" hidden="false" customHeight="true" outlineLevel="0" collapsed="false">
      <c r="A18" s="20" t="n">
        <v>14</v>
      </c>
      <c r="B18" s="20" t="n">
        <v>15</v>
      </c>
      <c r="C18" s="24" t="s">
        <v>114</v>
      </c>
      <c r="D18" s="21" t="s">
        <v>941</v>
      </c>
      <c r="E18" s="21" t="s">
        <v>117</v>
      </c>
      <c r="F18" s="13" t="s">
        <v>118</v>
      </c>
      <c r="G18" s="22" t="n">
        <v>90000</v>
      </c>
      <c r="H18" s="22" t="n">
        <v>0</v>
      </c>
      <c r="I18" s="22" t="n">
        <v>10000</v>
      </c>
      <c r="J18" s="21" t="s">
        <v>90</v>
      </c>
      <c r="K18" s="13"/>
    </row>
    <row r="19" customFormat="false" ht="18.75" hidden="false" customHeight="true" outlineLevel="0" collapsed="false">
      <c r="A19" s="17" t="n">
        <v>15</v>
      </c>
      <c r="B19" s="17" t="n">
        <v>17</v>
      </c>
      <c r="C19" s="23" t="s">
        <v>550</v>
      </c>
      <c r="D19" s="18" t="s">
        <v>549</v>
      </c>
      <c r="E19" s="18" t="s">
        <v>91</v>
      </c>
      <c r="F19" s="9" t="s">
        <v>551</v>
      </c>
      <c r="G19" s="19" t="n">
        <v>25000</v>
      </c>
      <c r="H19" s="19" t="n">
        <v>0</v>
      </c>
      <c r="I19" s="19" t="n">
        <v>0</v>
      </c>
      <c r="J19" s="18" t="s">
        <v>90</v>
      </c>
      <c r="K19" s="9"/>
    </row>
    <row r="20" customFormat="false" ht="18.75" hidden="false" customHeight="true" outlineLevel="0" collapsed="false">
      <c r="A20" s="20" t="n">
        <v>16</v>
      </c>
      <c r="B20" s="20" t="n">
        <v>18</v>
      </c>
      <c r="C20" s="24" t="s">
        <v>120</v>
      </c>
      <c r="D20" s="21" t="s">
        <v>941</v>
      </c>
      <c r="E20" s="21" t="s">
        <v>119</v>
      </c>
      <c r="F20" s="13" t="s">
        <v>121</v>
      </c>
      <c r="G20" s="22" t="n">
        <v>37000</v>
      </c>
      <c r="H20" s="22" t="n">
        <v>0</v>
      </c>
      <c r="I20" s="22" t="n">
        <v>0</v>
      </c>
      <c r="J20" s="21" t="s">
        <v>90</v>
      </c>
      <c r="K20" s="13"/>
    </row>
    <row r="21" customFormat="false" ht="18.75" hidden="false" customHeight="true" outlineLevel="0" collapsed="false">
      <c r="A21" s="17" t="n">
        <v>17</v>
      </c>
      <c r="B21" s="17" t="n">
        <v>19</v>
      </c>
      <c r="C21" s="23" t="s">
        <v>123</v>
      </c>
      <c r="D21" s="18" t="s">
        <v>941</v>
      </c>
      <c r="E21" s="18" t="s">
        <v>122</v>
      </c>
      <c r="F21" s="9" t="s">
        <v>124</v>
      </c>
      <c r="G21" s="19" t="n">
        <v>84000</v>
      </c>
      <c r="H21" s="19" t="n">
        <v>0</v>
      </c>
      <c r="I21" s="19" t="n">
        <v>0</v>
      </c>
      <c r="J21" s="18" t="s">
        <v>90</v>
      </c>
      <c r="K21" s="9"/>
    </row>
    <row r="22" customFormat="false" ht="18.75" hidden="false" customHeight="true" outlineLevel="0" collapsed="false">
      <c r="A22" s="20" t="n">
        <v>18</v>
      </c>
      <c r="B22" s="20" t="n">
        <v>20</v>
      </c>
      <c r="C22" s="24" t="s">
        <v>126</v>
      </c>
      <c r="D22" s="21" t="s">
        <v>941</v>
      </c>
      <c r="E22" s="21" t="s">
        <v>125</v>
      </c>
      <c r="F22" s="13" t="s">
        <v>44</v>
      </c>
      <c r="G22" s="22" t="n">
        <v>0</v>
      </c>
      <c r="H22" s="22" t="n">
        <v>0</v>
      </c>
      <c r="I22" s="22" t="n">
        <v>40945.63</v>
      </c>
      <c r="J22" s="21" t="s">
        <v>90</v>
      </c>
      <c r="K22" s="13"/>
    </row>
    <row r="23" customFormat="false" ht="18.75" hidden="false" customHeight="true" outlineLevel="0" collapsed="false">
      <c r="A23" s="17" t="n">
        <v>19</v>
      </c>
      <c r="B23" s="17" t="n">
        <v>21</v>
      </c>
      <c r="C23" s="23" t="s">
        <v>128</v>
      </c>
      <c r="D23" s="18" t="s">
        <v>941</v>
      </c>
      <c r="E23" s="18" t="s">
        <v>127</v>
      </c>
      <c r="F23" s="9" t="s">
        <v>44</v>
      </c>
      <c r="G23" s="19" t="n">
        <v>0</v>
      </c>
      <c r="H23" s="19" t="n">
        <v>0</v>
      </c>
      <c r="I23" s="19" t="n">
        <v>23790.75</v>
      </c>
      <c r="J23" s="18" t="s">
        <v>90</v>
      </c>
      <c r="K23" s="9"/>
    </row>
    <row r="24" customFormat="false" ht="18.75" hidden="false" customHeight="true" outlineLevel="0" collapsed="false">
      <c r="A24" s="20" t="n">
        <v>20</v>
      </c>
      <c r="B24" s="20" t="n">
        <v>22</v>
      </c>
      <c r="C24" s="24" t="s">
        <v>130</v>
      </c>
      <c r="D24" s="21" t="s">
        <v>941</v>
      </c>
      <c r="E24" s="21" t="s">
        <v>129</v>
      </c>
      <c r="F24" s="13" t="s">
        <v>44</v>
      </c>
      <c r="G24" s="22" t="n">
        <v>0</v>
      </c>
      <c r="H24" s="22" t="n">
        <v>0</v>
      </c>
      <c r="I24" s="22" t="n">
        <v>104877.5</v>
      </c>
      <c r="J24" s="21" t="s">
        <v>90</v>
      </c>
      <c r="K24" s="13"/>
    </row>
    <row r="25" customFormat="false" ht="18.75" hidden="false" customHeight="true" outlineLevel="0" collapsed="false">
      <c r="A25" s="17" t="n">
        <v>21</v>
      </c>
      <c r="B25" s="17" t="n">
        <v>23</v>
      </c>
      <c r="C25" s="23" t="s">
        <v>132</v>
      </c>
      <c r="D25" s="18" t="s">
        <v>941</v>
      </c>
      <c r="E25" s="18" t="s">
        <v>131</v>
      </c>
      <c r="F25" s="9" t="s">
        <v>44</v>
      </c>
      <c r="G25" s="19" t="n">
        <v>0</v>
      </c>
      <c r="H25" s="19" t="n">
        <v>0</v>
      </c>
      <c r="I25" s="19" t="n">
        <v>87045</v>
      </c>
      <c r="J25" s="18" t="s">
        <v>90</v>
      </c>
      <c r="K25" s="9"/>
    </row>
    <row r="26" customFormat="false" ht="18.75" hidden="false" customHeight="true" outlineLevel="0" collapsed="false">
      <c r="A26" s="20" t="n">
        <v>22</v>
      </c>
      <c r="B26" s="20" t="n">
        <v>24</v>
      </c>
      <c r="C26" s="24" t="s">
        <v>134</v>
      </c>
      <c r="D26" s="21" t="s">
        <v>941</v>
      </c>
      <c r="E26" s="21" t="s">
        <v>133</v>
      </c>
      <c r="F26" s="13" t="s">
        <v>44</v>
      </c>
      <c r="G26" s="22" t="n">
        <v>0</v>
      </c>
      <c r="H26" s="22" t="n">
        <v>0</v>
      </c>
      <c r="I26" s="22" t="n">
        <v>35516.88</v>
      </c>
      <c r="J26" s="21" t="s">
        <v>90</v>
      </c>
      <c r="K26" s="13"/>
    </row>
    <row r="27" customFormat="false" ht="18.75" hidden="false" customHeight="true" outlineLevel="0" collapsed="false">
      <c r="A27" s="17" t="n">
        <v>23</v>
      </c>
      <c r="B27" s="17" t="n">
        <v>25</v>
      </c>
      <c r="C27" s="23" t="s">
        <v>136</v>
      </c>
      <c r="D27" s="18" t="s">
        <v>941</v>
      </c>
      <c r="E27" s="18" t="s">
        <v>135</v>
      </c>
      <c r="F27" s="9" t="s">
        <v>44</v>
      </c>
      <c r="G27" s="19" t="n">
        <v>0</v>
      </c>
      <c r="H27" s="19" t="n">
        <v>0</v>
      </c>
      <c r="I27" s="19" t="n">
        <v>62000.63</v>
      </c>
      <c r="J27" s="18" t="s">
        <v>90</v>
      </c>
      <c r="K27" s="9"/>
    </row>
    <row r="28" customFormat="false" ht="18.75" hidden="false" customHeight="true" outlineLevel="0" collapsed="false">
      <c r="A28" s="20" t="n">
        <v>24</v>
      </c>
      <c r="B28" s="20" t="n">
        <v>26</v>
      </c>
      <c r="C28" s="24" t="s">
        <v>138</v>
      </c>
      <c r="D28" s="21" t="s">
        <v>941</v>
      </c>
      <c r="E28" s="21" t="s">
        <v>137</v>
      </c>
      <c r="F28" s="13" t="s">
        <v>44</v>
      </c>
      <c r="G28" s="22" t="n">
        <v>0</v>
      </c>
      <c r="H28" s="22" t="n">
        <v>0</v>
      </c>
      <c r="I28" s="22" t="n">
        <v>48671.88</v>
      </c>
      <c r="J28" s="21" t="s">
        <v>90</v>
      </c>
      <c r="K28" s="13"/>
    </row>
    <row r="29" customFormat="false" ht="18.75" hidden="false" customHeight="true" outlineLevel="0" collapsed="false">
      <c r="A29" s="17" t="n">
        <v>25</v>
      </c>
      <c r="B29" s="17" t="n">
        <v>27</v>
      </c>
      <c r="C29" s="23" t="s">
        <v>140</v>
      </c>
      <c r="D29" s="18" t="s">
        <v>941</v>
      </c>
      <c r="E29" s="18" t="s">
        <v>139</v>
      </c>
      <c r="F29" s="9" t="s">
        <v>44</v>
      </c>
      <c r="G29" s="19" t="n">
        <v>0</v>
      </c>
      <c r="H29" s="19" t="n">
        <v>0</v>
      </c>
      <c r="I29" s="19" t="n">
        <v>69703.75</v>
      </c>
      <c r="J29" s="18" t="s">
        <v>90</v>
      </c>
      <c r="K29" s="9"/>
    </row>
    <row r="30" customFormat="false" ht="18.75" hidden="false" customHeight="true" outlineLevel="0" collapsed="false">
      <c r="A30" s="20" t="n">
        <v>26</v>
      </c>
      <c r="B30" s="20" t="n">
        <v>28</v>
      </c>
      <c r="C30" s="24" t="s">
        <v>142</v>
      </c>
      <c r="D30" s="21" t="s">
        <v>941</v>
      </c>
      <c r="E30" s="21" t="s">
        <v>141</v>
      </c>
      <c r="F30" s="13" t="s">
        <v>44</v>
      </c>
      <c r="G30" s="22" t="n">
        <v>0</v>
      </c>
      <c r="H30" s="22" t="n">
        <v>0</v>
      </c>
      <c r="I30" s="22" t="n">
        <v>32370.63</v>
      </c>
      <c r="J30" s="21" t="s">
        <v>90</v>
      </c>
      <c r="K30" s="13"/>
    </row>
    <row r="31" customFormat="false" ht="18.75" hidden="false" customHeight="true" outlineLevel="0" collapsed="false">
      <c r="A31" s="17" t="n">
        <v>27</v>
      </c>
      <c r="B31" s="17" t="n">
        <v>29</v>
      </c>
      <c r="C31" s="23" t="s">
        <v>144</v>
      </c>
      <c r="D31" s="18" t="s">
        <v>941</v>
      </c>
      <c r="E31" s="18" t="s">
        <v>143</v>
      </c>
      <c r="F31" s="9" t="s">
        <v>44</v>
      </c>
      <c r="G31" s="19" t="n">
        <v>0</v>
      </c>
      <c r="H31" s="19" t="n">
        <v>0</v>
      </c>
      <c r="I31" s="19" t="n">
        <v>12992.25</v>
      </c>
      <c r="J31" s="18" t="s">
        <v>90</v>
      </c>
      <c r="K31" s="9"/>
    </row>
    <row r="32" customFormat="false" ht="18.75" hidden="false" customHeight="true" outlineLevel="0" collapsed="false">
      <c r="A32" s="20" t="n">
        <v>28</v>
      </c>
      <c r="B32" s="20" t="n">
        <v>30</v>
      </c>
      <c r="C32" s="24" t="s">
        <v>146</v>
      </c>
      <c r="D32" s="21" t="s">
        <v>941</v>
      </c>
      <c r="E32" s="21" t="s">
        <v>145</v>
      </c>
      <c r="F32" s="13" t="s">
        <v>44</v>
      </c>
      <c r="G32" s="22" t="n">
        <v>0</v>
      </c>
      <c r="H32" s="22" t="n">
        <v>0</v>
      </c>
      <c r="I32" s="22" t="n">
        <v>39656.75</v>
      </c>
      <c r="J32" s="21" t="s">
        <v>147</v>
      </c>
      <c r="K32" s="13"/>
    </row>
    <row r="33" customFormat="false" ht="18.75" hidden="false" customHeight="true" outlineLevel="0" collapsed="false">
      <c r="A33" s="17" t="n">
        <v>29</v>
      </c>
      <c r="B33" s="17" t="n">
        <v>31</v>
      </c>
      <c r="C33" s="23" t="s">
        <v>149</v>
      </c>
      <c r="D33" s="18" t="s">
        <v>941</v>
      </c>
      <c r="E33" s="18" t="s">
        <v>148</v>
      </c>
      <c r="F33" s="9" t="s">
        <v>44</v>
      </c>
      <c r="G33" s="19" t="n">
        <v>0</v>
      </c>
      <c r="H33" s="19" t="n">
        <v>0</v>
      </c>
      <c r="I33" s="19" t="n">
        <v>38475.25</v>
      </c>
      <c r="J33" s="18" t="s">
        <v>90</v>
      </c>
      <c r="K33" s="9"/>
    </row>
    <row r="34" customFormat="false" ht="18.75" hidden="false" customHeight="true" outlineLevel="0" collapsed="false">
      <c r="A34" s="20" t="n">
        <v>30</v>
      </c>
      <c r="B34" s="20" t="n">
        <v>32</v>
      </c>
      <c r="C34" s="24" t="s">
        <v>151</v>
      </c>
      <c r="D34" s="21" t="s">
        <v>941</v>
      </c>
      <c r="E34" s="21" t="s">
        <v>150</v>
      </c>
      <c r="F34" s="13" t="s">
        <v>44</v>
      </c>
      <c r="G34" s="22" t="n">
        <v>0</v>
      </c>
      <c r="H34" s="22" t="n">
        <v>0</v>
      </c>
      <c r="I34" s="22" t="n">
        <v>31376.5</v>
      </c>
      <c r="J34" s="21" t="s">
        <v>90</v>
      </c>
      <c r="K34" s="13"/>
    </row>
    <row r="35" customFormat="false" ht="18.75" hidden="false" customHeight="true" outlineLevel="0" collapsed="false">
      <c r="A35" s="17" t="n">
        <v>31</v>
      </c>
      <c r="B35" s="17" t="n">
        <v>33</v>
      </c>
      <c r="C35" s="23" t="s">
        <v>942</v>
      </c>
      <c r="D35" s="18" t="s">
        <v>943</v>
      </c>
      <c r="E35" s="18" t="s">
        <v>88</v>
      </c>
      <c r="F35" s="9" t="s">
        <v>810</v>
      </c>
      <c r="G35" s="19" t="n">
        <v>0</v>
      </c>
      <c r="H35" s="19" t="n">
        <v>0</v>
      </c>
      <c r="I35" s="19" t="n">
        <v>0</v>
      </c>
      <c r="J35" s="18" t="s">
        <v>90</v>
      </c>
      <c r="K35" s="9"/>
    </row>
    <row r="36" customFormat="false" ht="18.75" hidden="false" customHeight="true" outlineLevel="0" collapsed="false">
      <c r="A36" s="20" t="n">
        <v>32</v>
      </c>
      <c r="B36" s="20" t="n">
        <v>34</v>
      </c>
      <c r="C36" s="24" t="s">
        <v>153</v>
      </c>
      <c r="D36" s="21" t="s">
        <v>941</v>
      </c>
      <c r="E36" s="21" t="s">
        <v>152</v>
      </c>
      <c r="F36" s="13" t="s">
        <v>40</v>
      </c>
      <c r="G36" s="22" t="n">
        <v>0</v>
      </c>
      <c r="H36" s="22" t="n">
        <v>0</v>
      </c>
      <c r="I36" s="22" t="n">
        <v>213988</v>
      </c>
      <c r="J36" s="21" t="s">
        <v>90</v>
      </c>
      <c r="K36" s="13"/>
    </row>
    <row r="37" customFormat="false" ht="18.75" hidden="false" customHeight="true" outlineLevel="0" collapsed="false">
      <c r="A37" s="17" t="n">
        <v>33</v>
      </c>
      <c r="B37" s="17" t="n">
        <v>35</v>
      </c>
      <c r="C37" s="23" t="s">
        <v>155</v>
      </c>
      <c r="D37" s="18" t="s">
        <v>941</v>
      </c>
      <c r="E37" s="18" t="s">
        <v>154</v>
      </c>
      <c r="F37" s="9" t="s">
        <v>40</v>
      </c>
      <c r="G37" s="19" t="n">
        <v>0</v>
      </c>
      <c r="H37" s="19" t="n">
        <v>0</v>
      </c>
      <c r="I37" s="19" t="n">
        <v>73524</v>
      </c>
      <c r="J37" s="18" t="s">
        <v>90</v>
      </c>
      <c r="K37" s="9"/>
    </row>
    <row r="38" customFormat="false" ht="18.75" hidden="false" customHeight="true" outlineLevel="0" collapsed="false">
      <c r="A38" s="20" t="n">
        <v>34</v>
      </c>
      <c r="B38" s="20" t="n">
        <v>37</v>
      </c>
      <c r="C38" s="24" t="s">
        <v>553</v>
      </c>
      <c r="D38" s="21" t="s">
        <v>554</v>
      </c>
      <c r="E38" s="21" t="s">
        <v>944</v>
      </c>
      <c r="F38" s="13" t="s">
        <v>555</v>
      </c>
      <c r="G38" s="22" t="n">
        <v>0</v>
      </c>
      <c r="H38" s="22" t="n">
        <v>100000</v>
      </c>
      <c r="I38" s="22" t="n">
        <v>0</v>
      </c>
      <c r="J38" s="21" t="s">
        <v>90</v>
      </c>
      <c r="K38" s="13"/>
    </row>
    <row r="39" customFormat="false" ht="18.75" hidden="false" customHeight="true" outlineLevel="0" collapsed="false">
      <c r="A39" s="17" t="n">
        <v>35</v>
      </c>
      <c r="B39" s="17" t="n">
        <v>36</v>
      </c>
      <c r="C39" s="23" t="s">
        <v>557</v>
      </c>
      <c r="D39" s="18" t="s">
        <v>554</v>
      </c>
      <c r="E39" s="18" t="s">
        <v>945</v>
      </c>
      <c r="F39" s="9" t="s">
        <v>555</v>
      </c>
      <c r="G39" s="19" t="n">
        <v>0</v>
      </c>
      <c r="H39" s="19" t="n">
        <v>150000</v>
      </c>
      <c r="I39" s="19" t="n">
        <v>0</v>
      </c>
      <c r="J39" s="18" t="s">
        <v>90</v>
      </c>
      <c r="K39" s="9"/>
    </row>
    <row r="40" customFormat="false" ht="18.75" hidden="false" customHeight="true" outlineLevel="0" collapsed="false">
      <c r="A40" s="20" t="n">
        <v>36</v>
      </c>
      <c r="B40" s="20" t="n">
        <v>38</v>
      </c>
      <c r="C40" s="24" t="s">
        <v>157</v>
      </c>
      <c r="D40" s="21" t="s">
        <v>941</v>
      </c>
      <c r="E40" s="21" t="s">
        <v>156</v>
      </c>
      <c r="F40" s="13" t="s">
        <v>44</v>
      </c>
      <c r="G40" s="22" t="n">
        <v>0</v>
      </c>
      <c r="H40" s="22" t="n">
        <v>0</v>
      </c>
      <c r="I40" s="22" t="n">
        <v>108507.5</v>
      </c>
      <c r="J40" s="21" t="s">
        <v>90</v>
      </c>
      <c r="K40" s="13"/>
    </row>
    <row r="41" customFormat="false" ht="18.75" hidden="false" customHeight="true" outlineLevel="0" collapsed="false">
      <c r="A41" s="17" t="n">
        <v>37</v>
      </c>
      <c r="B41" s="17" t="n">
        <v>39</v>
      </c>
      <c r="C41" s="23" t="s">
        <v>159</v>
      </c>
      <c r="D41" s="18" t="s">
        <v>941</v>
      </c>
      <c r="E41" s="18" t="s">
        <v>158</v>
      </c>
      <c r="F41" s="9" t="s">
        <v>44</v>
      </c>
      <c r="G41" s="19" t="n">
        <v>0</v>
      </c>
      <c r="H41" s="19" t="n">
        <v>0</v>
      </c>
      <c r="I41" s="19" t="n">
        <v>91150.69</v>
      </c>
      <c r="J41" s="18" t="s">
        <v>90</v>
      </c>
      <c r="K41" s="9"/>
    </row>
    <row r="42" customFormat="false" ht="18.75" hidden="false" customHeight="true" outlineLevel="0" collapsed="false">
      <c r="A42" s="20" t="n">
        <v>38</v>
      </c>
      <c r="B42" s="20" t="n">
        <v>41</v>
      </c>
      <c r="C42" s="24" t="s">
        <v>161</v>
      </c>
      <c r="D42" s="21" t="s">
        <v>941</v>
      </c>
      <c r="E42" s="21" t="s">
        <v>160</v>
      </c>
      <c r="F42" s="13" t="s">
        <v>44</v>
      </c>
      <c r="G42" s="22" t="n">
        <v>0</v>
      </c>
      <c r="H42" s="22" t="n">
        <v>0</v>
      </c>
      <c r="I42" s="22" t="n">
        <v>45416</v>
      </c>
      <c r="J42" s="21" t="s">
        <v>90</v>
      </c>
      <c r="K42" s="13"/>
    </row>
    <row r="43" customFormat="false" ht="18.75" hidden="false" customHeight="true" outlineLevel="0" collapsed="false">
      <c r="A43" s="17" t="n">
        <v>39</v>
      </c>
      <c r="B43" s="17" t="n">
        <v>40</v>
      </c>
      <c r="C43" s="23" t="s">
        <v>163</v>
      </c>
      <c r="D43" s="18" t="s">
        <v>941</v>
      </c>
      <c r="E43" s="18" t="s">
        <v>162</v>
      </c>
      <c r="F43" s="9" t="s">
        <v>52</v>
      </c>
      <c r="G43" s="19" t="n">
        <v>120055</v>
      </c>
      <c r="H43" s="19" t="n">
        <v>0</v>
      </c>
      <c r="I43" s="19" t="n">
        <v>0</v>
      </c>
      <c r="J43" s="18" t="s">
        <v>90</v>
      </c>
      <c r="K43" s="9"/>
    </row>
    <row r="44" customFormat="false" ht="18.75" hidden="false" customHeight="true" outlineLevel="0" collapsed="false">
      <c r="A44" s="20" t="n">
        <v>40</v>
      </c>
      <c r="B44" s="20" t="n">
        <v>42</v>
      </c>
      <c r="C44" s="24" t="s">
        <v>165</v>
      </c>
      <c r="D44" s="21" t="s">
        <v>941</v>
      </c>
      <c r="E44" s="21" t="s">
        <v>164</v>
      </c>
      <c r="F44" s="13" t="s">
        <v>40</v>
      </c>
      <c r="G44" s="22" t="n">
        <v>0</v>
      </c>
      <c r="H44" s="22" t="n">
        <v>0</v>
      </c>
      <c r="I44" s="22" t="n">
        <v>83152</v>
      </c>
      <c r="J44" s="21" t="s">
        <v>90</v>
      </c>
      <c r="K44" s="13"/>
    </row>
    <row r="45" customFormat="false" ht="18.75" hidden="false" customHeight="true" outlineLevel="0" collapsed="false">
      <c r="A45" s="17" t="n">
        <v>41</v>
      </c>
      <c r="B45" s="17" t="n">
        <v>43</v>
      </c>
      <c r="C45" s="23" t="s">
        <v>167</v>
      </c>
      <c r="D45" s="18" t="s">
        <v>941</v>
      </c>
      <c r="E45" s="18" t="s">
        <v>166</v>
      </c>
      <c r="F45" s="9" t="s">
        <v>40</v>
      </c>
      <c r="G45" s="19" t="n">
        <v>0</v>
      </c>
      <c r="H45" s="19" t="n">
        <v>0</v>
      </c>
      <c r="I45" s="19" t="n">
        <v>99436</v>
      </c>
      <c r="J45" s="18" t="s">
        <v>90</v>
      </c>
      <c r="K45" s="9"/>
    </row>
    <row r="46" customFormat="false" ht="18.75" hidden="false" customHeight="true" outlineLevel="0" collapsed="false">
      <c r="A46" s="20" t="n">
        <v>42</v>
      </c>
      <c r="B46" s="20" t="n">
        <v>44</v>
      </c>
      <c r="C46" s="24" t="s">
        <v>169</v>
      </c>
      <c r="D46" s="21" t="s">
        <v>941</v>
      </c>
      <c r="E46" s="21" t="s">
        <v>168</v>
      </c>
      <c r="F46" s="13" t="s">
        <v>40</v>
      </c>
      <c r="G46" s="22" t="n">
        <v>0</v>
      </c>
      <c r="H46" s="22" t="n">
        <v>0</v>
      </c>
      <c r="I46" s="22" t="n">
        <v>70288</v>
      </c>
      <c r="J46" s="21" t="s">
        <v>90</v>
      </c>
      <c r="K46" s="13"/>
    </row>
    <row r="47" customFormat="false" ht="18.75" hidden="false" customHeight="true" outlineLevel="0" collapsed="false">
      <c r="A47" s="17" t="n">
        <v>43</v>
      </c>
      <c r="B47" s="17" t="n">
        <v>45</v>
      </c>
      <c r="C47" s="23" t="s">
        <v>169</v>
      </c>
      <c r="D47" s="18" t="s">
        <v>941</v>
      </c>
      <c r="E47" s="18" t="s">
        <v>170</v>
      </c>
      <c r="F47" s="9" t="s">
        <v>40</v>
      </c>
      <c r="G47" s="19" t="n">
        <v>0</v>
      </c>
      <c r="H47" s="19" t="n">
        <v>0</v>
      </c>
      <c r="I47" s="19" t="n">
        <v>68432</v>
      </c>
      <c r="J47" s="18" t="s">
        <v>90</v>
      </c>
      <c r="K47" s="9"/>
    </row>
    <row r="48" customFormat="false" ht="18.75" hidden="false" customHeight="true" outlineLevel="0" collapsed="false">
      <c r="A48" s="20" t="n">
        <v>44</v>
      </c>
      <c r="B48" s="20" t="n">
        <v>46</v>
      </c>
      <c r="C48" s="24" t="s">
        <v>172</v>
      </c>
      <c r="D48" s="21" t="s">
        <v>941</v>
      </c>
      <c r="E48" s="21" t="s">
        <v>171</v>
      </c>
      <c r="F48" s="13" t="s">
        <v>40</v>
      </c>
      <c r="G48" s="22" t="n">
        <v>0</v>
      </c>
      <c r="H48" s="22" t="n">
        <v>0</v>
      </c>
      <c r="I48" s="22" t="n">
        <v>91428</v>
      </c>
      <c r="J48" s="21" t="s">
        <v>90</v>
      </c>
      <c r="K48" s="13"/>
    </row>
    <row r="49" customFormat="false" ht="18.75" hidden="false" customHeight="true" outlineLevel="0" collapsed="false">
      <c r="A49" s="17" t="n">
        <v>45</v>
      </c>
      <c r="B49" s="17" t="n">
        <v>47</v>
      </c>
      <c r="C49" s="23" t="s">
        <v>174</v>
      </c>
      <c r="D49" s="18" t="s">
        <v>941</v>
      </c>
      <c r="E49" s="18" t="s">
        <v>173</v>
      </c>
      <c r="F49" s="9" t="s">
        <v>38</v>
      </c>
      <c r="G49" s="19" t="n">
        <v>0</v>
      </c>
      <c r="H49" s="19" t="n">
        <v>0</v>
      </c>
      <c r="I49" s="19" t="n">
        <v>92923.88</v>
      </c>
      <c r="J49" s="18" t="s">
        <v>90</v>
      </c>
      <c r="K49" s="9"/>
    </row>
    <row r="50" customFormat="false" ht="18.75" hidden="false" customHeight="true" outlineLevel="0" collapsed="false">
      <c r="A50" s="20" t="n">
        <v>46</v>
      </c>
      <c r="B50" s="20" t="n">
        <v>49</v>
      </c>
      <c r="C50" s="24" t="s">
        <v>558</v>
      </c>
      <c r="D50" s="21" t="s">
        <v>549</v>
      </c>
      <c r="E50" s="21" t="s">
        <v>93</v>
      </c>
      <c r="F50" s="13" t="s">
        <v>38</v>
      </c>
      <c r="G50" s="22" t="n">
        <v>45000</v>
      </c>
      <c r="H50" s="22" t="n">
        <v>0</v>
      </c>
      <c r="I50" s="22" t="n">
        <v>0</v>
      </c>
      <c r="J50" s="21" t="s">
        <v>90</v>
      </c>
      <c r="K50" s="13"/>
    </row>
    <row r="51" customFormat="false" ht="18.75" hidden="false" customHeight="true" outlineLevel="0" collapsed="false">
      <c r="A51" s="17" t="n">
        <v>47</v>
      </c>
      <c r="B51" s="17" t="n">
        <v>48</v>
      </c>
      <c r="C51" s="23" t="s">
        <v>176</v>
      </c>
      <c r="D51" s="18" t="s">
        <v>941</v>
      </c>
      <c r="E51" s="18" t="s">
        <v>175</v>
      </c>
      <c r="F51" s="9" t="s">
        <v>38</v>
      </c>
      <c r="G51" s="19" t="n">
        <v>0</v>
      </c>
      <c r="H51" s="19" t="n">
        <v>0</v>
      </c>
      <c r="I51" s="19" t="n">
        <v>490496.8</v>
      </c>
      <c r="J51" s="18" t="s">
        <v>90</v>
      </c>
      <c r="K51" s="9"/>
    </row>
    <row r="52" customFormat="false" ht="18.75" hidden="false" customHeight="true" outlineLevel="0" collapsed="false">
      <c r="A52" s="20" t="n">
        <v>48</v>
      </c>
      <c r="B52" s="20" t="n">
        <v>50</v>
      </c>
      <c r="C52" s="24" t="s">
        <v>178</v>
      </c>
      <c r="D52" s="21" t="s">
        <v>941</v>
      </c>
      <c r="E52" s="21" t="s">
        <v>177</v>
      </c>
      <c r="F52" s="13" t="s">
        <v>38</v>
      </c>
      <c r="G52" s="22" t="n">
        <v>0</v>
      </c>
      <c r="H52" s="22" t="n">
        <v>0</v>
      </c>
      <c r="I52" s="22" t="n">
        <v>66215.1</v>
      </c>
      <c r="J52" s="21" t="s">
        <v>90</v>
      </c>
      <c r="K52" s="13"/>
    </row>
    <row r="53" customFormat="false" ht="18.75" hidden="false" customHeight="true" outlineLevel="0" collapsed="false">
      <c r="A53" s="17" t="n">
        <v>49</v>
      </c>
      <c r="B53" s="17" t="n">
        <v>51</v>
      </c>
      <c r="C53" s="23" t="s">
        <v>559</v>
      </c>
      <c r="D53" s="18" t="s">
        <v>549</v>
      </c>
      <c r="E53" s="18" t="s">
        <v>95</v>
      </c>
      <c r="F53" s="9" t="s">
        <v>38</v>
      </c>
      <c r="G53" s="19" t="n">
        <v>40000</v>
      </c>
      <c r="H53" s="19" t="n">
        <v>0</v>
      </c>
      <c r="I53" s="19" t="n">
        <v>0</v>
      </c>
      <c r="J53" s="18" t="s">
        <v>90</v>
      </c>
      <c r="K53" s="9"/>
    </row>
    <row r="54" customFormat="false" ht="18.75" hidden="false" customHeight="true" outlineLevel="0" collapsed="false">
      <c r="A54" s="20" t="n">
        <v>50</v>
      </c>
      <c r="B54" s="20" t="n">
        <v>52</v>
      </c>
      <c r="C54" s="24" t="s">
        <v>559</v>
      </c>
      <c r="D54" s="21" t="s">
        <v>549</v>
      </c>
      <c r="E54" s="21" t="s">
        <v>97</v>
      </c>
      <c r="F54" s="13" t="s">
        <v>38</v>
      </c>
      <c r="G54" s="22" t="n">
        <v>31000</v>
      </c>
      <c r="H54" s="22" t="n">
        <v>0</v>
      </c>
      <c r="I54" s="22" t="n">
        <v>0</v>
      </c>
      <c r="J54" s="21" t="s">
        <v>560</v>
      </c>
      <c r="K54" s="13"/>
    </row>
    <row r="55" customFormat="false" ht="18.75" hidden="false" customHeight="true" outlineLevel="0" collapsed="false">
      <c r="A55" s="17" t="n">
        <v>51</v>
      </c>
      <c r="B55" s="17" t="n">
        <v>53</v>
      </c>
      <c r="C55" s="23" t="s">
        <v>180</v>
      </c>
      <c r="D55" s="18" t="s">
        <v>941</v>
      </c>
      <c r="E55" s="18" t="s">
        <v>179</v>
      </c>
      <c r="F55" s="9" t="s">
        <v>38</v>
      </c>
      <c r="G55" s="19" t="n">
        <v>0</v>
      </c>
      <c r="H55" s="19" t="n">
        <v>0</v>
      </c>
      <c r="I55" s="19" t="n">
        <v>134075.28</v>
      </c>
      <c r="J55" s="18" t="s">
        <v>90</v>
      </c>
      <c r="K55" s="9"/>
    </row>
    <row r="56" customFormat="false" ht="18.75" hidden="false" customHeight="true" outlineLevel="0" collapsed="false">
      <c r="A56" s="20" t="n">
        <v>52</v>
      </c>
      <c r="B56" s="20" t="n">
        <v>54</v>
      </c>
      <c r="C56" s="24" t="s">
        <v>180</v>
      </c>
      <c r="D56" s="21" t="s">
        <v>549</v>
      </c>
      <c r="E56" s="21" t="s">
        <v>561</v>
      </c>
      <c r="F56" s="13" t="s">
        <v>38</v>
      </c>
      <c r="G56" s="22" t="n">
        <v>26000</v>
      </c>
      <c r="H56" s="22" t="n">
        <v>0</v>
      </c>
      <c r="I56" s="22" t="n">
        <v>0</v>
      </c>
      <c r="J56" s="21" t="s">
        <v>90</v>
      </c>
      <c r="K56" s="13" t="s">
        <v>562</v>
      </c>
    </row>
    <row r="57" customFormat="false" ht="18.75" hidden="false" customHeight="true" outlineLevel="0" collapsed="false">
      <c r="A57" s="17" t="n">
        <v>53</v>
      </c>
      <c r="B57" s="17" t="n">
        <v>55</v>
      </c>
      <c r="C57" s="23" t="s">
        <v>563</v>
      </c>
      <c r="D57" s="18" t="s">
        <v>549</v>
      </c>
      <c r="E57" s="18" t="s">
        <v>100</v>
      </c>
      <c r="F57" s="9" t="s">
        <v>38</v>
      </c>
      <c r="G57" s="19" t="n">
        <v>80000</v>
      </c>
      <c r="H57" s="19" t="n">
        <v>0</v>
      </c>
      <c r="I57" s="19" t="n">
        <v>0</v>
      </c>
      <c r="J57" s="18" t="s">
        <v>90</v>
      </c>
      <c r="K57" s="9"/>
    </row>
    <row r="58" customFormat="false" ht="18.75" hidden="false" customHeight="true" outlineLevel="0" collapsed="false">
      <c r="A58" s="20" t="n">
        <v>54</v>
      </c>
      <c r="B58" s="20" t="n">
        <v>58</v>
      </c>
      <c r="C58" s="24" t="s">
        <v>564</v>
      </c>
      <c r="D58" s="21" t="s">
        <v>549</v>
      </c>
      <c r="E58" s="21" t="s">
        <v>102</v>
      </c>
      <c r="F58" s="13" t="s">
        <v>38</v>
      </c>
      <c r="G58" s="22" t="n">
        <v>10000</v>
      </c>
      <c r="H58" s="22" t="n">
        <v>0</v>
      </c>
      <c r="I58" s="22" t="n">
        <v>0</v>
      </c>
      <c r="J58" s="21" t="s">
        <v>560</v>
      </c>
      <c r="K58" s="13"/>
    </row>
    <row r="59" customFormat="false" ht="18.75" hidden="false" customHeight="true" outlineLevel="0" collapsed="false">
      <c r="A59" s="17" t="n">
        <v>55</v>
      </c>
      <c r="B59" s="17" t="n">
        <v>56</v>
      </c>
      <c r="C59" s="23" t="s">
        <v>182</v>
      </c>
      <c r="D59" s="18" t="s">
        <v>941</v>
      </c>
      <c r="E59" s="18" t="s">
        <v>181</v>
      </c>
      <c r="F59" s="9" t="s">
        <v>183</v>
      </c>
      <c r="G59" s="19" t="n">
        <v>0</v>
      </c>
      <c r="H59" s="19" t="n">
        <v>0</v>
      </c>
      <c r="I59" s="19" t="n">
        <v>47000</v>
      </c>
      <c r="J59" s="18" t="s">
        <v>90</v>
      </c>
      <c r="K59" s="9"/>
    </row>
    <row r="60" customFormat="false" ht="18.75" hidden="false" customHeight="true" outlineLevel="0" collapsed="false">
      <c r="A60" s="20" t="n">
        <v>56</v>
      </c>
      <c r="B60" s="20" t="n">
        <v>57</v>
      </c>
      <c r="C60" s="24" t="s">
        <v>182</v>
      </c>
      <c r="D60" s="21" t="s">
        <v>941</v>
      </c>
      <c r="E60" s="21" t="s">
        <v>184</v>
      </c>
      <c r="F60" s="13" t="s">
        <v>38</v>
      </c>
      <c r="G60" s="22" t="n">
        <v>0</v>
      </c>
      <c r="H60" s="22" t="n">
        <v>0</v>
      </c>
      <c r="I60" s="22" t="n">
        <v>176167.4</v>
      </c>
      <c r="J60" s="21" t="s">
        <v>90</v>
      </c>
      <c r="K60" s="13"/>
    </row>
    <row r="61" customFormat="false" ht="18.75" hidden="false" customHeight="true" outlineLevel="0" collapsed="false">
      <c r="A61" s="17" t="n">
        <v>57</v>
      </c>
      <c r="B61" s="17" t="n">
        <v>59</v>
      </c>
      <c r="C61" s="23" t="s">
        <v>186</v>
      </c>
      <c r="D61" s="18" t="s">
        <v>941</v>
      </c>
      <c r="E61" s="18" t="s">
        <v>185</v>
      </c>
      <c r="F61" s="9" t="s">
        <v>40</v>
      </c>
      <c r="G61" s="19" t="n">
        <v>0</v>
      </c>
      <c r="H61" s="19" t="n">
        <v>0</v>
      </c>
      <c r="I61" s="19" t="n">
        <v>73206.5</v>
      </c>
      <c r="J61" s="18" t="s">
        <v>90</v>
      </c>
      <c r="K61" s="9"/>
    </row>
    <row r="62" customFormat="false" ht="18.75" hidden="false" customHeight="true" outlineLevel="0" collapsed="false">
      <c r="A62" s="20" t="n">
        <v>58</v>
      </c>
      <c r="B62" s="20" t="n">
        <v>60</v>
      </c>
      <c r="C62" s="24" t="s">
        <v>188</v>
      </c>
      <c r="D62" s="21" t="s">
        <v>549</v>
      </c>
      <c r="E62" s="21" t="s">
        <v>105</v>
      </c>
      <c r="F62" s="13" t="s">
        <v>38</v>
      </c>
      <c r="G62" s="22" t="n">
        <v>65000</v>
      </c>
      <c r="H62" s="22" t="n">
        <v>0</v>
      </c>
      <c r="I62" s="22" t="n">
        <v>0</v>
      </c>
      <c r="J62" s="21" t="s">
        <v>90</v>
      </c>
      <c r="K62" s="13"/>
    </row>
    <row r="63" customFormat="false" ht="18.75" hidden="false" customHeight="true" outlineLevel="0" collapsed="false">
      <c r="A63" s="17" t="n">
        <v>59</v>
      </c>
      <c r="B63" s="17" t="n">
        <v>61</v>
      </c>
      <c r="C63" s="23" t="s">
        <v>188</v>
      </c>
      <c r="D63" s="18" t="s">
        <v>941</v>
      </c>
      <c r="E63" s="18" t="s">
        <v>187</v>
      </c>
      <c r="F63" s="9" t="s">
        <v>38</v>
      </c>
      <c r="G63" s="19" t="n">
        <v>0</v>
      </c>
      <c r="H63" s="19" t="n">
        <v>0</v>
      </c>
      <c r="I63" s="19" t="n">
        <v>7150</v>
      </c>
      <c r="J63" s="18" t="s">
        <v>90</v>
      </c>
      <c r="K63" s="9"/>
    </row>
    <row r="64" customFormat="false" ht="18.75" hidden="false" customHeight="true" outlineLevel="0" collapsed="false">
      <c r="A64" s="20" t="n">
        <v>60</v>
      </c>
      <c r="B64" s="20" t="n">
        <v>78</v>
      </c>
      <c r="C64" s="24" t="s">
        <v>188</v>
      </c>
      <c r="D64" s="21" t="s">
        <v>549</v>
      </c>
      <c r="E64" s="21" t="s">
        <v>125</v>
      </c>
      <c r="F64" s="13" t="s">
        <v>183</v>
      </c>
      <c r="G64" s="22" t="n">
        <v>25000</v>
      </c>
      <c r="H64" s="22" t="n">
        <v>0</v>
      </c>
      <c r="I64" s="22" t="n">
        <v>0</v>
      </c>
      <c r="J64" s="21" t="s">
        <v>147</v>
      </c>
      <c r="K64" s="13"/>
    </row>
    <row r="65" customFormat="false" ht="18.75" hidden="false" customHeight="true" outlineLevel="0" collapsed="false">
      <c r="A65" s="17" t="n">
        <v>61</v>
      </c>
      <c r="B65" s="17" t="n">
        <v>62</v>
      </c>
      <c r="C65" s="23" t="s">
        <v>565</v>
      </c>
      <c r="D65" s="18" t="s">
        <v>549</v>
      </c>
      <c r="E65" s="18" t="s">
        <v>108</v>
      </c>
      <c r="F65" s="9" t="s">
        <v>38</v>
      </c>
      <c r="G65" s="19" t="n">
        <v>15500</v>
      </c>
      <c r="H65" s="19" t="n">
        <v>0</v>
      </c>
      <c r="I65" s="19" t="n">
        <v>0</v>
      </c>
      <c r="J65" s="18" t="s">
        <v>90</v>
      </c>
      <c r="K65" s="9"/>
    </row>
    <row r="66" customFormat="false" ht="18.75" hidden="false" customHeight="true" outlineLevel="0" collapsed="false">
      <c r="A66" s="20" t="n">
        <v>62</v>
      </c>
      <c r="B66" s="20" t="n">
        <v>63</v>
      </c>
      <c r="C66" s="24" t="s">
        <v>190</v>
      </c>
      <c r="D66" s="21" t="s">
        <v>941</v>
      </c>
      <c r="E66" s="21" t="s">
        <v>189</v>
      </c>
      <c r="F66" s="13" t="s">
        <v>38</v>
      </c>
      <c r="G66" s="22" t="n">
        <v>0</v>
      </c>
      <c r="H66" s="22" t="n">
        <v>0</v>
      </c>
      <c r="I66" s="22" t="n">
        <v>106490</v>
      </c>
      <c r="J66" s="21" t="s">
        <v>90</v>
      </c>
      <c r="K66" s="13"/>
    </row>
    <row r="67" customFormat="false" ht="18.75" hidden="false" customHeight="true" outlineLevel="0" collapsed="false">
      <c r="A67" s="17" t="n">
        <v>63</v>
      </c>
      <c r="B67" s="17" t="n">
        <v>64</v>
      </c>
      <c r="C67" s="23" t="s">
        <v>566</v>
      </c>
      <c r="D67" s="18" t="s">
        <v>549</v>
      </c>
      <c r="E67" s="18" t="s">
        <v>111</v>
      </c>
      <c r="F67" s="9" t="s">
        <v>38</v>
      </c>
      <c r="G67" s="19" t="n">
        <v>40000</v>
      </c>
      <c r="H67" s="19" t="n">
        <v>0</v>
      </c>
      <c r="I67" s="19" t="n">
        <v>0</v>
      </c>
      <c r="J67" s="18" t="s">
        <v>90</v>
      </c>
      <c r="K67" s="9"/>
    </row>
    <row r="68" customFormat="false" ht="18.75" hidden="false" customHeight="true" outlineLevel="0" collapsed="false">
      <c r="A68" s="20" t="n">
        <v>64</v>
      </c>
      <c r="B68" s="20" t="n">
        <v>65</v>
      </c>
      <c r="C68" s="24" t="s">
        <v>192</v>
      </c>
      <c r="D68" s="21" t="s">
        <v>941</v>
      </c>
      <c r="E68" s="21" t="s">
        <v>191</v>
      </c>
      <c r="F68" s="13" t="s">
        <v>38</v>
      </c>
      <c r="G68" s="22" t="n">
        <v>0</v>
      </c>
      <c r="H68" s="22" t="n">
        <v>0</v>
      </c>
      <c r="I68" s="22" t="n">
        <v>288653</v>
      </c>
      <c r="J68" s="21" t="s">
        <v>90</v>
      </c>
      <c r="K68" s="13"/>
    </row>
    <row r="69" customFormat="false" ht="18.75" hidden="false" customHeight="true" outlineLevel="0" collapsed="false">
      <c r="A69" s="17" t="n">
        <v>65</v>
      </c>
      <c r="B69" s="17" t="n">
        <v>67</v>
      </c>
      <c r="C69" s="23" t="s">
        <v>192</v>
      </c>
      <c r="D69" s="18" t="s">
        <v>549</v>
      </c>
      <c r="E69" s="18" t="s">
        <v>115</v>
      </c>
      <c r="F69" s="9" t="s">
        <v>38</v>
      </c>
      <c r="G69" s="19" t="n">
        <v>17000</v>
      </c>
      <c r="H69" s="19" t="n">
        <v>0</v>
      </c>
      <c r="I69" s="19" t="n">
        <v>0</v>
      </c>
      <c r="J69" s="18" t="s">
        <v>90</v>
      </c>
      <c r="K69" s="9"/>
    </row>
    <row r="70" customFormat="false" ht="18.75" hidden="false" customHeight="true" outlineLevel="0" collapsed="false">
      <c r="A70" s="20" t="n">
        <v>66</v>
      </c>
      <c r="B70" s="20" t="n">
        <v>66</v>
      </c>
      <c r="C70" s="24" t="s">
        <v>567</v>
      </c>
      <c r="D70" s="21" t="s">
        <v>549</v>
      </c>
      <c r="E70" s="21" t="s">
        <v>113</v>
      </c>
      <c r="F70" s="13" t="s">
        <v>38</v>
      </c>
      <c r="G70" s="22" t="n">
        <v>45000</v>
      </c>
      <c r="H70" s="22" t="n">
        <v>0</v>
      </c>
      <c r="I70" s="22" t="n">
        <v>0</v>
      </c>
      <c r="J70" s="21" t="s">
        <v>90</v>
      </c>
      <c r="K70" s="13"/>
    </row>
    <row r="71" customFormat="false" ht="18.75" hidden="false" customHeight="true" outlineLevel="0" collapsed="false">
      <c r="A71" s="17" t="n">
        <v>67</v>
      </c>
      <c r="B71" s="17" t="n">
        <v>68</v>
      </c>
      <c r="C71" s="23" t="s">
        <v>194</v>
      </c>
      <c r="D71" s="18" t="s">
        <v>941</v>
      </c>
      <c r="E71" s="18" t="s">
        <v>193</v>
      </c>
      <c r="F71" s="9" t="s">
        <v>38</v>
      </c>
      <c r="G71" s="19" t="n">
        <v>0</v>
      </c>
      <c r="H71" s="19" t="n">
        <v>0</v>
      </c>
      <c r="I71" s="19" t="n">
        <v>69638.88</v>
      </c>
      <c r="J71" s="18" t="s">
        <v>90</v>
      </c>
      <c r="K71" s="9"/>
    </row>
    <row r="72" customFormat="false" ht="18.75" hidden="false" customHeight="true" outlineLevel="0" collapsed="false">
      <c r="A72" s="20" t="n">
        <v>68</v>
      </c>
      <c r="B72" s="20" t="n">
        <v>69</v>
      </c>
      <c r="C72" s="24" t="s">
        <v>196</v>
      </c>
      <c r="D72" s="21" t="s">
        <v>941</v>
      </c>
      <c r="E72" s="21" t="s">
        <v>195</v>
      </c>
      <c r="F72" s="13" t="s">
        <v>40</v>
      </c>
      <c r="G72" s="22" t="n">
        <v>0</v>
      </c>
      <c r="H72" s="22" t="n">
        <v>0</v>
      </c>
      <c r="I72" s="22" t="n">
        <v>64352.5</v>
      </c>
      <c r="J72" s="21" t="s">
        <v>90</v>
      </c>
      <c r="K72" s="13"/>
    </row>
    <row r="73" customFormat="false" ht="18.75" hidden="false" customHeight="true" outlineLevel="0" collapsed="false">
      <c r="A73" s="17" t="n">
        <v>69</v>
      </c>
      <c r="B73" s="17" t="n">
        <v>70</v>
      </c>
      <c r="C73" s="23" t="s">
        <v>198</v>
      </c>
      <c r="D73" s="18" t="s">
        <v>549</v>
      </c>
      <c r="E73" s="18" t="s">
        <v>117</v>
      </c>
      <c r="F73" s="9" t="s">
        <v>38</v>
      </c>
      <c r="G73" s="19" t="n">
        <v>245000</v>
      </c>
      <c r="H73" s="19" t="n">
        <v>0</v>
      </c>
      <c r="I73" s="19" t="n">
        <v>0</v>
      </c>
      <c r="J73" s="18" t="s">
        <v>90</v>
      </c>
      <c r="K73" s="9"/>
    </row>
    <row r="74" customFormat="false" ht="18.75" hidden="false" customHeight="true" outlineLevel="0" collapsed="false">
      <c r="A74" s="20" t="n">
        <v>70</v>
      </c>
      <c r="B74" s="20" t="n">
        <v>71</v>
      </c>
      <c r="C74" s="24" t="s">
        <v>198</v>
      </c>
      <c r="D74" s="21" t="s">
        <v>941</v>
      </c>
      <c r="E74" s="21" t="s">
        <v>197</v>
      </c>
      <c r="F74" s="13" t="s">
        <v>38</v>
      </c>
      <c r="G74" s="22" t="n">
        <v>0</v>
      </c>
      <c r="H74" s="22" t="n">
        <v>0</v>
      </c>
      <c r="I74" s="22" t="n">
        <v>93906.75</v>
      </c>
      <c r="J74" s="21" t="s">
        <v>90</v>
      </c>
      <c r="K74" s="13"/>
    </row>
    <row r="75" customFormat="false" ht="18.75" hidden="false" customHeight="true" outlineLevel="0" collapsed="false">
      <c r="A75" s="17" t="n">
        <v>71</v>
      </c>
      <c r="B75" s="17" t="n">
        <v>72</v>
      </c>
      <c r="C75" s="23" t="s">
        <v>569</v>
      </c>
      <c r="D75" s="18" t="s">
        <v>549</v>
      </c>
      <c r="E75" s="18" t="s">
        <v>568</v>
      </c>
      <c r="F75" s="9" t="s">
        <v>38</v>
      </c>
      <c r="G75" s="19" t="n">
        <v>14000</v>
      </c>
      <c r="H75" s="19" t="n">
        <v>0</v>
      </c>
      <c r="I75" s="19" t="n">
        <v>0</v>
      </c>
      <c r="J75" s="18" t="s">
        <v>90</v>
      </c>
      <c r="K75" s="9"/>
    </row>
    <row r="76" customFormat="false" ht="18.75" hidden="false" customHeight="true" outlineLevel="0" collapsed="false">
      <c r="A76" s="20" t="n">
        <v>72</v>
      </c>
      <c r="B76" s="20" t="n">
        <v>73</v>
      </c>
      <c r="C76" s="24" t="s">
        <v>570</v>
      </c>
      <c r="D76" s="21" t="s">
        <v>549</v>
      </c>
      <c r="E76" s="21" t="s">
        <v>119</v>
      </c>
      <c r="F76" s="13" t="s">
        <v>38</v>
      </c>
      <c r="G76" s="22" t="n">
        <v>30000</v>
      </c>
      <c r="H76" s="22" t="n">
        <v>0</v>
      </c>
      <c r="I76" s="22" t="n">
        <v>0</v>
      </c>
      <c r="J76" s="21" t="s">
        <v>147</v>
      </c>
      <c r="K76" s="13"/>
    </row>
    <row r="77" customFormat="false" ht="18.75" hidden="false" customHeight="true" outlineLevel="0" collapsed="false">
      <c r="A77" s="17" t="n">
        <v>73</v>
      </c>
      <c r="B77" s="17" t="n">
        <v>74</v>
      </c>
      <c r="C77" s="23" t="s">
        <v>571</v>
      </c>
      <c r="D77" s="18" t="s">
        <v>549</v>
      </c>
      <c r="E77" s="18" t="s">
        <v>122</v>
      </c>
      <c r="F77" s="9" t="s">
        <v>38</v>
      </c>
      <c r="G77" s="19" t="n">
        <v>70000</v>
      </c>
      <c r="H77" s="19" t="n">
        <v>0</v>
      </c>
      <c r="I77" s="19" t="n">
        <v>0</v>
      </c>
      <c r="J77" s="18" t="s">
        <v>90</v>
      </c>
      <c r="K77" s="9"/>
    </row>
    <row r="78" customFormat="false" ht="18.75" hidden="false" customHeight="true" outlineLevel="0" collapsed="false">
      <c r="A78" s="20" t="n">
        <v>74</v>
      </c>
      <c r="B78" s="20" t="n">
        <v>75</v>
      </c>
      <c r="C78" s="24" t="s">
        <v>200</v>
      </c>
      <c r="D78" s="21" t="s">
        <v>941</v>
      </c>
      <c r="E78" s="21" t="s">
        <v>199</v>
      </c>
      <c r="F78" s="13" t="s">
        <v>38</v>
      </c>
      <c r="G78" s="22" t="n">
        <v>0</v>
      </c>
      <c r="H78" s="22" t="n">
        <v>0</v>
      </c>
      <c r="I78" s="22" t="n">
        <v>104597.63</v>
      </c>
      <c r="J78" s="21" t="s">
        <v>90</v>
      </c>
      <c r="K78" s="13"/>
    </row>
    <row r="79" customFormat="false" ht="18.75" hidden="false" customHeight="true" outlineLevel="0" collapsed="false">
      <c r="A79" s="17" t="n">
        <v>75</v>
      </c>
      <c r="B79" s="17" t="n">
        <v>76</v>
      </c>
      <c r="C79" s="23" t="s">
        <v>200</v>
      </c>
      <c r="D79" s="18" t="s">
        <v>941</v>
      </c>
      <c r="E79" s="18" t="s">
        <v>201</v>
      </c>
      <c r="F79" s="9" t="s">
        <v>38</v>
      </c>
      <c r="G79" s="19" t="n">
        <v>0</v>
      </c>
      <c r="H79" s="19" t="n">
        <v>0</v>
      </c>
      <c r="I79" s="19" t="n">
        <v>114750</v>
      </c>
      <c r="J79" s="18" t="s">
        <v>90</v>
      </c>
      <c r="K79" s="9"/>
    </row>
    <row r="80" customFormat="false" ht="18.75" hidden="false" customHeight="true" outlineLevel="0" collapsed="false">
      <c r="A80" s="20" t="n">
        <v>76</v>
      </c>
      <c r="B80" s="20" t="n">
        <v>77</v>
      </c>
      <c r="C80" s="24" t="s">
        <v>203</v>
      </c>
      <c r="D80" s="21" t="s">
        <v>941</v>
      </c>
      <c r="E80" s="21" t="s">
        <v>202</v>
      </c>
      <c r="F80" s="13" t="s">
        <v>38</v>
      </c>
      <c r="G80" s="22" t="n">
        <v>0</v>
      </c>
      <c r="H80" s="22" t="n">
        <v>0</v>
      </c>
      <c r="I80" s="22" t="n">
        <v>112727.5</v>
      </c>
      <c r="J80" s="21" t="s">
        <v>90</v>
      </c>
      <c r="K80" s="13"/>
    </row>
    <row r="81" customFormat="false" ht="18.75" hidden="false" customHeight="true" outlineLevel="0" collapsed="false">
      <c r="A81" s="17" t="n">
        <v>77</v>
      </c>
      <c r="B81" s="17" t="n">
        <v>79</v>
      </c>
      <c r="C81" s="23" t="s">
        <v>203</v>
      </c>
      <c r="D81" s="18" t="s">
        <v>941</v>
      </c>
      <c r="E81" s="18" t="s">
        <v>204</v>
      </c>
      <c r="F81" s="9" t="s">
        <v>40</v>
      </c>
      <c r="G81" s="19" t="n">
        <v>0</v>
      </c>
      <c r="H81" s="19" t="n">
        <v>0</v>
      </c>
      <c r="I81" s="19" t="n">
        <v>99529.13</v>
      </c>
      <c r="J81" s="18" t="s">
        <v>90</v>
      </c>
      <c r="K81" s="9"/>
    </row>
    <row r="82" customFormat="false" ht="18.75" hidden="false" customHeight="true" outlineLevel="0" collapsed="false">
      <c r="A82" s="20" t="n">
        <v>78</v>
      </c>
      <c r="B82" s="20" t="n">
        <v>80</v>
      </c>
      <c r="C82" s="24" t="s">
        <v>206</v>
      </c>
      <c r="D82" s="21" t="s">
        <v>941</v>
      </c>
      <c r="E82" s="21" t="s">
        <v>205</v>
      </c>
      <c r="F82" s="13" t="s">
        <v>46</v>
      </c>
      <c r="G82" s="22" t="n">
        <v>20000</v>
      </c>
      <c r="H82" s="22" t="n">
        <v>0</v>
      </c>
      <c r="I82" s="22" t="n">
        <v>59932.88</v>
      </c>
      <c r="J82" s="21" t="s">
        <v>90</v>
      </c>
      <c r="K82" s="13"/>
    </row>
    <row r="83" customFormat="false" ht="18.75" hidden="false" customHeight="true" outlineLevel="0" collapsed="false">
      <c r="A83" s="17" t="n">
        <v>79</v>
      </c>
      <c r="B83" s="17" t="n">
        <v>81</v>
      </c>
      <c r="C83" s="23" t="s">
        <v>572</v>
      </c>
      <c r="D83" s="18" t="s">
        <v>549</v>
      </c>
      <c r="E83" s="18" t="s">
        <v>127</v>
      </c>
      <c r="F83" s="9" t="s">
        <v>38</v>
      </c>
      <c r="G83" s="19" t="n">
        <v>35700</v>
      </c>
      <c r="H83" s="19" t="n">
        <v>0</v>
      </c>
      <c r="I83" s="19" t="n">
        <v>0</v>
      </c>
      <c r="J83" s="18" t="s">
        <v>90</v>
      </c>
      <c r="K83" s="9"/>
    </row>
    <row r="84" customFormat="false" ht="18.75" hidden="false" customHeight="true" outlineLevel="0" collapsed="false">
      <c r="A84" s="20" t="n">
        <v>80</v>
      </c>
      <c r="B84" s="20" t="n">
        <v>82</v>
      </c>
      <c r="C84" s="24" t="s">
        <v>573</v>
      </c>
      <c r="D84" s="21" t="s">
        <v>549</v>
      </c>
      <c r="E84" s="21" t="s">
        <v>129</v>
      </c>
      <c r="F84" s="13" t="s">
        <v>38</v>
      </c>
      <c r="G84" s="22" t="n">
        <v>24300</v>
      </c>
      <c r="H84" s="22" t="n">
        <v>0</v>
      </c>
      <c r="I84" s="22" t="n">
        <v>0</v>
      </c>
      <c r="J84" s="21" t="s">
        <v>147</v>
      </c>
      <c r="K84" s="13"/>
    </row>
    <row r="85" customFormat="false" ht="18.75" hidden="false" customHeight="true" outlineLevel="0" collapsed="false">
      <c r="A85" s="17" t="n">
        <v>81</v>
      </c>
      <c r="B85" s="17" t="n">
        <v>180</v>
      </c>
      <c r="C85" s="23" t="s">
        <v>208</v>
      </c>
      <c r="D85" s="18" t="s">
        <v>941</v>
      </c>
      <c r="E85" s="18" t="s">
        <v>207</v>
      </c>
      <c r="F85" s="9" t="s">
        <v>209</v>
      </c>
      <c r="G85" s="19" t="n">
        <v>48000</v>
      </c>
      <c r="H85" s="19" t="n">
        <v>0</v>
      </c>
      <c r="I85" s="19" t="n">
        <v>0</v>
      </c>
      <c r="J85" s="18" t="s">
        <v>147</v>
      </c>
      <c r="K85" s="9"/>
    </row>
    <row r="86" customFormat="false" ht="18.75" hidden="false" customHeight="true" outlineLevel="0" collapsed="false">
      <c r="A86" s="20" t="n">
        <v>82</v>
      </c>
      <c r="B86" s="20" t="n">
        <v>83</v>
      </c>
      <c r="C86" s="24" t="s">
        <v>211</v>
      </c>
      <c r="D86" s="21" t="s">
        <v>941</v>
      </c>
      <c r="E86" s="21" t="s">
        <v>210</v>
      </c>
      <c r="F86" s="13" t="s">
        <v>40</v>
      </c>
      <c r="G86" s="22" t="n">
        <v>0</v>
      </c>
      <c r="H86" s="22" t="n">
        <v>0</v>
      </c>
      <c r="I86" s="22" t="n">
        <v>102724</v>
      </c>
      <c r="J86" s="21" t="s">
        <v>90</v>
      </c>
      <c r="K86" s="13"/>
    </row>
    <row r="87" customFormat="false" ht="18.75" hidden="false" customHeight="true" outlineLevel="0" collapsed="false">
      <c r="A87" s="17" t="n">
        <v>83</v>
      </c>
      <c r="B87" s="17" t="n">
        <v>85</v>
      </c>
      <c r="C87" s="23" t="s">
        <v>213</v>
      </c>
      <c r="D87" s="18" t="s">
        <v>941</v>
      </c>
      <c r="E87" s="18" t="s">
        <v>212</v>
      </c>
      <c r="F87" s="9" t="s">
        <v>38</v>
      </c>
      <c r="G87" s="19" t="n">
        <v>0</v>
      </c>
      <c r="H87" s="19" t="n">
        <v>0</v>
      </c>
      <c r="I87" s="19" t="n">
        <v>114296.75</v>
      </c>
      <c r="J87" s="18" t="s">
        <v>90</v>
      </c>
      <c r="K87" s="9"/>
    </row>
    <row r="88" customFormat="false" ht="18.75" hidden="false" customHeight="true" outlineLevel="0" collapsed="false">
      <c r="A88" s="20" t="n">
        <v>84</v>
      </c>
      <c r="B88" s="20" t="n">
        <v>86</v>
      </c>
      <c r="C88" s="24" t="s">
        <v>213</v>
      </c>
      <c r="D88" s="21" t="s">
        <v>549</v>
      </c>
      <c r="E88" s="21" t="s">
        <v>131</v>
      </c>
      <c r="F88" s="13" t="s">
        <v>38</v>
      </c>
      <c r="G88" s="22" t="n">
        <v>15000</v>
      </c>
      <c r="H88" s="22" t="n">
        <v>0</v>
      </c>
      <c r="I88" s="22" t="n">
        <v>0</v>
      </c>
      <c r="J88" s="21" t="s">
        <v>90</v>
      </c>
      <c r="K88" s="13"/>
    </row>
    <row r="89" customFormat="false" ht="18.75" hidden="false" customHeight="true" outlineLevel="0" collapsed="false">
      <c r="A89" s="17" t="n">
        <v>85</v>
      </c>
      <c r="B89" s="17" t="n">
        <v>87</v>
      </c>
      <c r="C89" s="23" t="s">
        <v>215</v>
      </c>
      <c r="D89" s="18" t="s">
        <v>941</v>
      </c>
      <c r="E89" s="18" t="s">
        <v>214</v>
      </c>
      <c r="F89" s="9" t="s">
        <v>38</v>
      </c>
      <c r="G89" s="19" t="n">
        <v>0</v>
      </c>
      <c r="H89" s="19" t="n">
        <v>0</v>
      </c>
      <c r="I89" s="19" t="n">
        <v>153000</v>
      </c>
      <c r="J89" s="18" t="s">
        <v>90</v>
      </c>
      <c r="K89" s="9"/>
    </row>
    <row r="90" customFormat="false" ht="18.75" hidden="false" customHeight="true" outlineLevel="0" collapsed="false">
      <c r="A90" s="20" t="n">
        <v>86</v>
      </c>
      <c r="B90" s="20" t="n">
        <v>88</v>
      </c>
      <c r="C90" s="24" t="s">
        <v>217</v>
      </c>
      <c r="D90" s="21" t="s">
        <v>549</v>
      </c>
      <c r="E90" s="21" t="s">
        <v>133</v>
      </c>
      <c r="F90" s="13" t="s">
        <v>38</v>
      </c>
      <c r="G90" s="22" t="n">
        <v>50000</v>
      </c>
      <c r="H90" s="22" t="n">
        <v>0</v>
      </c>
      <c r="I90" s="22" t="n">
        <v>0</v>
      </c>
      <c r="J90" s="21" t="s">
        <v>147</v>
      </c>
      <c r="K90" s="13"/>
    </row>
    <row r="91" customFormat="false" ht="18.75" hidden="false" customHeight="true" outlineLevel="0" collapsed="false">
      <c r="A91" s="17" t="n">
        <v>87</v>
      </c>
      <c r="B91" s="17" t="n">
        <v>89</v>
      </c>
      <c r="C91" s="23" t="s">
        <v>217</v>
      </c>
      <c r="D91" s="18" t="s">
        <v>941</v>
      </c>
      <c r="E91" s="18" t="s">
        <v>216</v>
      </c>
      <c r="F91" s="9" t="s">
        <v>38</v>
      </c>
      <c r="G91" s="19" t="n">
        <v>0</v>
      </c>
      <c r="H91" s="19" t="n">
        <v>0</v>
      </c>
      <c r="I91" s="19" t="n">
        <v>57818.13</v>
      </c>
      <c r="J91" s="18" t="s">
        <v>90</v>
      </c>
      <c r="K91" s="9"/>
    </row>
    <row r="92" customFormat="false" ht="18.75" hidden="false" customHeight="true" outlineLevel="0" collapsed="false">
      <c r="A92" s="20" t="n">
        <v>88</v>
      </c>
      <c r="B92" s="20" t="n">
        <v>90</v>
      </c>
      <c r="C92" s="24" t="s">
        <v>574</v>
      </c>
      <c r="D92" s="21" t="s">
        <v>549</v>
      </c>
      <c r="E92" s="21" t="s">
        <v>135</v>
      </c>
      <c r="F92" s="13" t="s">
        <v>38</v>
      </c>
      <c r="G92" s="22" t="n">
        <v>86000</v>
      </c>
      <c r="H92" s="22" t="n">
        <v>0</v>
      </c>
      <c r="I92" s="22" t="n">
        <v>0</v>
      </c>
      <c r="J92" s="21" t="s">
        <v>90</v>
      </c>
      <c r="K92" s="13" t="s">
        <v>575</v>
      </c>
    </row>
    <row r="93" customFormat="false" ht="18.75" hidden="false" customHeight="true" outlineLevel="0" collapsed="false">
      <c r="A93" s="17" t="n">
        <v>89</v>
      </c>
      <c r="B93" s="17" t="n">
        <v>91</v>
      </c>
      <c r="C93" s="23" t="s">
        <v>219</v>
      </c>
      <c r="D93" s="18" t="s">
        <v>549</v>
      </c>
      <c r="E93" s="18" t="s">
        <v>137</v>
      </c>
      <c r="F93" s="9" t="s">
        <v>38</v>
      </c>
      <c r="G93" s="19" t="n">
        <v>62000</v>
      </c>
      <c r="H93" s="19" t="n">
        <v>0</v>
      </c>
      <c r="I93" s="19" t="n">
        <v>0</v>
      </c>
      <c r="J93" s="18" t="s">
        <v>90</v>
      </c>
      <c r="K93" s="9"/>
    </row>
    <row r="94" customFormat="false" ht="18.75" hidden="false" customHeight="true" outlineLevel="0" collapsed="false">
      <c r="A94" s="20" t="n">
        <v>90</v>
      </c>
      <c r="B94" s="20" t="n">
        <v>92</v>
      </c>
      <c r="C94" s="24" t="s">
        <v>219</v>
      </c>
      <c r="D94" s="21" t="s">
        <v>549</v>
      </c>
      <c r="E94" s="21" t="s">
        <v>139</v>
      </c>
      <c r="F94" s="13" t="s">
        <v>38</v>
      </c>
      <c r="G94" s="22" t="n">
        <v>57000</v>
      </c>
      <c r="H94" s="22" t="n">
        <v>0</v>
      </c>
      <c r="I94" s="22" t="n">
        <v>0</v>
      </c>
      <c r="J94" s="21" t="s">
        <v>90</v>
      </c>
      <c r="K94" s="13"/>
    </row>
    <row r="95" customFormat="false" ht="18.75" hidden="false" customHeight="true" outlineLevel="0" collapsed="false">
      <c r="A95" s="17" t="n">
        <v>91</v>
      </c>
      <c r="B95" s="17" t="n">
        <v>93</v>
      </c>
      <c r="C95" s="23" t="s">
        <v>219</v>
      </c>
      <c r="D95" s="18" t="s">
        <v>941</v>
      </c>
      <c r="E95" s="18" t="s">
        <v>218</v>
      </c>
      <c r="F95" s="9" t="s">
        <v>38</v>
      </c>
      <c r="G95" s="19" t="n">
        <v>0</v>
      </c>
      <c r="H95" s="19" t="n">
        <v>0</v>
      </c>
      <c r="I95" s="19" t="n">
        <v>88150</v>
      </c>
      <c r="J95" s="18" t="s">
        <v>90</v>
      </c>
      <c r="K95" s="9"/>
    </row>
    <row r="96" customFormat="false" ht="18.75" hidden="false" customHeight="true" outlineLevel="0" collapsed="false">
      <c r="A96" s="20" t="n">
        <v>92</v>
      </c>
      <c r="B96" s="20" t="n">
        <v>94</v>
      </c>
      <c r="C96" s="24" t="s">
        <v>221</v>
      </c>
      <c r="D96" s="21" t="s">
        <v>941</v>
      </c>
      <c r="E96" s="21" t="s">
        <v>220</v>
      </c>
      <c r="F96" s="13" t="s">
        <v>38</v>
      </c>
      <c r="G96" s="22" t="n">
        <v>0</v>
      </c>
      <c r="H96" s="22" t="n">
        <v>0</v>
      </c>
      <c r="I96" s="22" t="n">
        <v>249845.63</v>
      </c>
      <c r="J96" s="21" t="s">
        <v>90</v>
      </c>
      <c r="K96" s="13"/>
    </row>
    <row r="97" customFormat="false" ht="18.75" hidden="false" customHeight="true" outlineLevel="0" collapsed="false">
      <c r="A97" s="17" t="n">
        <v>93</v>
      </c>
      <c r="B97" s="17" t="n">
        <v>95</v>
      </c>
      <c r="C97" s="23" t="s">
        <v>221</v>
      </c>
      <c r="D97" s="18" t="s">
        <v>941</v>
      </c>
      <c r="E97" s="18" t="s">
        <v>222</v>
      </c>
      <c r="F97" s="9" t="s">
        <v>40</v>
      </c>
      <c r="G97" s="19" t="n">
        <v>0</v>
      </c>
      <c r="H97" s="19" t="n">
        <v>0</v>
      </c>
      <c r="I97" s="19" t="n">
        <v>145028.69</v>
      </c>
      <c r="J97" s="18" t="s">
        <v>90</v>
      </c>
      <c r="K97" s="9"/>
    </row>
    <row r="98" customFormat="false" ht="18.75" hidden="false" customHeight="true" outlineLevel="0" collapsed="false">
      <c r="A98" s="20" t="n">
        <v>94</v>
      </c>
      <c r="B98" s="20" t="n">
        <v>96</v>
      </c>
      <c r="C98" s="24" t="s">
        <v>576</v>
      </c>
      <c r="D98" s="21" t="s">
        <v>549</v>
      </c>
      <c r="E98" s="21" t="s">
        <v>141</v>
      </c>
      <c r="F98" s="13" t="s">
        <v>46</v>
      </c>
      <c r="G98" s="22" t="n">
        <v>10000</v>
      </c>
      <c r="H98" s="22" t="n">
        <v>0</v>
      </c>
      <c r="I98" s="22" t="n">
        <v>0</v>
      </c>
      <c r="J98" s="21" t="s">
        <v>90</v>
      </c>
      <c r="K98" s="13"/>
    </row>
    <row r="99" customFormat="false" ht="18.75" hidden="false" customHeight="true" outlineLevel="0" collapsed="false">
      <c r="A99" s="17" t="n">
        <v>95</v>
      </c>
      <c r="B99" s="17" t="n">
        <v>97</v>
      </c>
      <c r="C99" s="23" t="s">
        <v>224</v>
      </c>
      <c r="D99" s="18" t="s">
        <v>941</v>
      </c>
      <c r="E99" s="18" t="s">
        <v>223</v>
      </c>
      <c r="F99" s="9" t="s">
        <v>46</v>
      </c>
      <c r="G99" s="19" t="n">
        <v>0</v>
      </c>
      <c r="H99" s="19" t="n">
        <v>0</v>
      </c>
      <c r="I99" s="19" t="n">
        <v>71191</v>
      </c>
      <c r="J99" s="18" t="s">
        <v>90</v>
      </c>
      <c r="K99" s="9"/>
    </row>
    <row r="100" customFormat="false" ht="18.75" hidden="false" customHeight="true" outlineLevel="0" collapsed="false">
      <c r="A100" s="20" t="n">
        <v>96</v>
      </c>
      <c r="B100" s="20" t="n">
        <v>98</v>
      </c>
      <c r="C100" s="24" t="s">
        <v>224</v>
      </c>
      <c r="D100" s="21" t="s">
        <v>941</v>
      </c>
      <c r="E100" s="21" t="s">
        <v>225</v>
      </c>
      <c r="F100" s="13" t="s">
        <v>38</v>
      </c>
      <c r="G100" s="22" t="n">
        <v>0</v>
      </c>
      <c r="H100" s="22" t="n">
        <v>0</v>
      </c>
      <c r="I100" s="22" t="n">
        <v>132669.5</v>
      </c>
      <c r="J100" s="21" t="s">
        <v>90</v>
      </c>
      <c r="K100" s="13"/>
    </row>
    <row r="101" customFormat="false" ht="18.75" hidden="false" customHeight="true" outlineLevel="0" collapsed="false">
      <c r="A101" s="17" t="n">
        <v>97</v>
      </c>
      <c r="B101" s="17" t="n">
        <v>99</v>
      </c>
      <c r="C101" s="23" t="s">
        <v>224</v>
      </c>
      <c r="D101" s="18" t="s">
        <v>549</v>
      </c>
      <c r="E101" s="18" t="s">
        <v>143</v>
      </c>
      <c r="F101" s="9" t="s">
        <v>38</v>
      </c>
      <c r="G101" s="19" t="n">
        <v>50000</v>
      </c>
      <c r="H101" s="19" t="n">
        <v>0</v>
      </c>
      <c r="I101" s="19" t="n">
        <v>0</v>
      </c>
      <c r="J101" s="18" t="s">
        <v>147</v>
      </c>
      <c r="K101" s="9"/>
    </row>
    <row r="102" customFormat="false" ht="18.75" hidden="false" customHeight="true" outlineLevel="0" collapsed="false">
      <c r="A102" s="20" t="n">
        <v>98</v>
      </c>
      <c r="B102" s="20" t="n">
        <v>100</v>
      </c>
      <c r="C102" s="24" t="s">
        <v>224</v>
      </c>
      <c r="D102" s="21" t="s">
        <v>941</v>
      </c>
      <c r="E102" s="21" t="s">
        <v>226</v>
      </c>
      <c r="F102" s="13" t="s">
        <v>38</v>
      </c>
      <c r="G102" s="22" t="n">
        <v>0</v>
      </c>
      <c r="H102" s="22" t="n">
        <v>0</v>
      </c>
      <c r="I102" s="22" t="n">
        <v>43057</v>
      </c>
      <c r="J102" s="21" t="s">
        <v>90</v>
      </c>
      <c r="K102" s="13"/>
    </row>
    <row r="103" customFormat="false" ht="18.75" hidden="false" customHeight="true" outlineLevel="0" collapsed="false">
      <c r="A103" s="17" t="n">
        <v>99</v>
      </c>
      <c r="B103" s="17" t="n">
        <v>102</v>
      </c>
      <c r="C103" s="23" t="s">
        <v>224</v>
      </c>
      <c r="D103" s="18" t="s">
        <v>549</v>
      </c>
      <c r="E103" s="18" t="s">
        <v>145</v>
      </c>
      <c r="F103" s="9" t="s">
        <v>38</v>
      </c>
      <c r="G103" s="19" t="n">
        <v>135000</v>
      </c>
      <c r="H103" s="19" t="n">
        <v>0</v>
      </c>
      <c r="I103" s="19" t="n">
        <v>0</v>
      </c>
      <c r="J103" s="18" t="s">
        <v>90</v>
      </c>
      <c r="K103" s="9"/>
    </row>
    <row r="104" customFormat="false" ht="18.75" hidden="false" customHeight="true" outlineLevel="0" collapsed="false">
      <c r="A104" s="20" t="n">
        <v>100</v>
      </c>
      <c r="B104" s="20" t="n">
        <v>101</v>
      </c>
      <c r="C104" s="24" t="s">
        <v>228</v>
      </c>
      <c r="D104" s="21" t="s">
        <v>941</v>
      </c>
      <c r="E104" s="21" t="s">
        <v>227</v>
      </c>
      <c r="F104" s="13" t="s">
        <v>46</v>
      </c>
      <c r="G104" s="22" t="n">
        <v>0</v>
      </c>
      <c r="H104" s="22" t="n">
        <v>0</v>
      </c>
      <c r="I104" s="22" t="n">
        <v>11976.25</v>
      </c>
      <c r="J104" s="21" t="s">
        <v>90</v>
      </c>
      <c r="K104" s="13"/>
    </row>
    <row r="105" customFormat="false" ht="18.75" hidden="false" customHeight="true" outlineLevel="0" collapsed="false">
      <c r="A105" s="17" t="n">
        <v>101</v>
      </c>
      <c r="B105" s="17" t="n">
        <v>103</v>
      </c>
      <c r="C105" s="23" t="s">
        <v>230</v>
      </c>
      <c r="D105" s="18" t="s">
        <v>946</v>
      </c>
      <c r="E105" s="18" t="s">
        <v>88</v>
      </c>
      <c r="F105" s="9" t="s">
        <v>38</v>
      </c>
      <c r="G105" s="19" t="n">
        <v>0</v>
      </c>
      <c r="H105" s="19" t="n">
        <v>0</v>
      </c>
      <c r="I105" s="19" t="n">
        <v>76500</v>
      </c>
      <c r="J105" s="18" t="s">
        <v>90</v>
      </c>
      <c r="K105" s="9" t="s">
        <v>947</v>
      </c>
    </row>
    <row r="106" customFormat="false" ht="18.75" hidden="false" customHeight="true" outlineLevel="0" collapsed="false">
      <c r="A106" s="20" t="n">
        <v>102</v>
      </c>
      <c r="B106" s="20" t="n">
        <v>133</v>
      </c>
      <c r="C106" s="24" t="s">
        <v>230</v>
      </c>
      <c r="D106" s="21" t="s">
        <v>941</v>
      </c>
      <c r="E106" s="21" t="s">
        <v>229</v>
      </c>
      <c r="F106" s="13" t="s">
        <v>96</v>
      </c>
      <c r="G106" s="22" t="n">
        <v>0</v>
      </c>
      <c r="H106" s="22" t="n">
        <v>0</v>
      </c>
      <c r="I106" s="22" t="n">
        <v>26512</v>
      </c>
      <c r="J106" s="21" t="s">
        <v>90</v>
      </c>
      <c r="K106" s="13"/>
    </row>
    <row r="107" customFormat="false" ht="18.75" hidden="false" customHeight="true" outlineLevel="0" collapsed="false">
      <c r="A107" s="17" t="n">
        <v>103</v>
      </c>
      <c r="B107" s="17" t="n">
        <v>104</v>
      </c>
      <c r="C107" s="23" t="s">
        <v>577</v>
      </c>
      <c r="D107" s="18" t="s">
        <v>549</v>
      </c>
      <c r="E107" s="18" t="s">
        <v>148</v>
      </c>
      <c r="F107" s="9" t="s">
        <v>46</v>
      </c>
      <c r="G107" s="19" t="n">
        <v>20000</v>
      </c>
      <c r="H107" s="19" t="n">
        <v>0</v>
      </c>
      <c r="I107" s="19" t="n">
        <v>0</v>
      </c>
      <c r="J107" s="18" t="s">
        <v>90</v>
      </c>
      <c r="K107" s="9"/>
    </row>
    <row r="108" customFormat="false" ht="18.75" hidden="false" customHeight="true" outlineLevel="0" collapsed="false">
      <c r="A108" s="20" t="n">
        <v>104</v>
      </c>
      <c r="B108" s="20" t="n">
        <v>105</v>
      </c>
      <c r="C108" s="24" t="s">
        <v>232</v>
      </c>
      <c r="D108" s="21" t="s">
        <v>941</v>
      </c>
      <c r="E108" s="21" t="s">
        <v>231</v>
      </c>
      <c r="F108" s="13" t="s">
        <v>233</v>
      </c>
      <c r="G108" s="22" t="n">
        <v>5000</v>
      </c>
      <c r="H108" s="22" t="n">
        <v>0</v>
      </c>
      <c r="I108" s="22" t="n">
        <v>3010</v>
      </c>
      <c r="J108" s="21" t="s">
        <v>90</v>
      </c>
      <c r="K108" s="13"/>
    </row>
    <row r="109" customFormat="false" ht="18.75" hidden="false" customHeight="true" outlineLevel="0" collapsed="false">
      <c r="A109" s="17" t="n">
        <v>105</v>
      </c>
      <c r="B109" s="17" t="n">
        <v>106</v>
      </c>
      <c r="C109" s="23" t="s">
        <v>232</v>
      </c>
      <c r="D109" s="18" t="s">
        <v>549</v>
      </c>
      <c r="E109" s="18" t="s">
        <v>150</v>
      </c>
      <c r="F109" s="9" t="s">
        <v>38</v>
      </c>
      <c r="G109" s="19" t="n">
        <v>150000</v>
      </c>
      <c r="H109" s="19" t="n">
        <v>0</v>
      </c>
      <c r="I109" s="19" t="n">
        <v>0</v>
      </c>
      <c r="J109" s="18" t="s">
        <v>90</v>
      </c>
      <c r="K109" s="9"/>
    </row>
    <row r="110" customFormat="false" ht="18.75" hidden="false" customHeight="true" outlineLevel="0" collapsed="false">
      <c r="A110" s="20" t="n">
        <v>106</v>
      </c>
      <c r="B110" s="20" t="n">
        <v>110</v>
      </c>
      <c r="C110" s="24" t="s">
        <v>232</v>
      </c>
      <c r="D110" s="21" t="s">
        <v>941</v>
      </c>
      <c r="E110" s="21" t="s">
        <v>234</v>
      </c>
      <c r="F110" s="13" t="s">
        <v>38</v>
      </c>
      <c r="G110" s="22" t="n">
        <v>0</v>
      </c>
      <c r="H110" s="22" t="n">
        <v>0</v>
      </c>
      <c r="I110" s="22" t="n">
        <v>88625.13</v>
      </c>
      <c r="J110" s="21" t="s">
        <v>90</v>
      </c>
      <c r="K110" s="13"/>
    </row>
    <row r="111" customFormat="false" ht="18.75" hidden="false" customHeight="true" outlineLevel="0" collapsed="false">
      <c r="A111" s="17" t="n">
        <v>107</v>
      </c>
      <c r="B111" s="17" t="n">
        <v>107</v>
      </c>
      <c r="C111" s="23" t="s">
        <v>236</v>
      </c>
      <c r="D111" s="18" t="s">
        <v>549</v>
      </c>
      <c r="E111" s="18" t="s">
        <v>152</v>
      </c>
      <c r="F111" s="9" t="s">
        <v>38</v>
      </c>
      <c r="G111" s="19" t="n">
        <v>20000</v>
      </c>
      <c r="H111" s="19" t="n">
        <v>0</v>
      </c>
      <c r="I111" s="19" t="n">
        <v>0</v>
      </c>
      <c r="J111" s="18" t="s">
        <v>147</v>
      </c>
      <c r="K111" s="9"/>
    </row>
    <row r="112" customFormat="false" ht="18.75" hidden="false" customHeight="true" outlineLevel="0" collapsed="false">
      <c r="A112" s="20" t="n">
        <v>108</v>
      </c>
      <c r="B112" s="20" t="n">
        <v>108</v>
      </c>
      <c r="C112" s="24" t="s">
        <v>236</v>
      </c>
      <c r="D112" s="21" t="s">
        <v>549</v>
      </c>
      <c r="E112" s="21" t="s">
        <v>154</v>
      </c>
      <c r="F112" s="13" t="s">
        <v>38</v>
      </c>
      <c r="G112" s="22" t="n">
        <v>3000</v>
      </c>
      <c r="H112" s="22" t="n">
        <v>0</v>
      </c>
      <c r="I112" s="22" t="n">
        <v>0</v>
      </c>
      <c r="J112" s="21" t="s">
        <v>90</v>
      </c>
      <c r="K112" s="13"/>
    </row>
    <row r="113" customFormat="false" ht="18.75" hidden="false" customHeight="true" outlineLevel="0" collapsed="false">
      <c r="A113" s="17" t="n">
        <v>109</v>
      </c>
      <c r="B113" s="17" t="n">
        <v>109</v>
      </c>
      <c r="C113" s="23" t="s">
        <v>236</v>
      </c>
      <c r="D113" s="18" t="s">
        <v>941</v>
      </c>
      <c r="E113" s="18" t="s">
        <v>235</v>
      </c>
      <c r="F113" s="9" t="s">
        <v>40</v>
      </c>
      <c r="G113" s="19" t="n">
        <v>0</v>
      </c>
      <c r="H113" s="19" t="n">
        <v>0</v>
      </c>
      <c r="I113" s="19" t="n">
        <v>183358.19</v>
      </c>
      <c r="J113" s="18" t="s">
        <v>90</v>
      </c>
      <c r="K113" s="9"/>
    </row>
    <row r="114" customFormat="false" ht="18.75" hidden="false" customHeight="true" outlineLevel="0" collapsed="false">
      <c r="A114" s="20" t="n">
        <v>110</v>
      </c>
      <c r="B114" s="20" t="n">
        <v>111</v>
      </c>
      <c r="C114" s="24" t="s">
        <v>238</v>
      </c>
      <c r="D114" s="21" t="s">
        <v>941</v>
      </c>
      <c r="E114" s="21" t="s">
        <v>237</v>
      </c>
      <c r="F114" s="13" t="s">
        <v>233</v>
      </c>
      <c r="G114" s="22" t="n">
        <v>5000</v>
      </c>
      <c r="H114" s="22" t="n">
        <v>0</v>
      </c>
      <c r="I114" s="22" t="n">
        <v>2800</v>
      </c>
      <c r="J114" s="21" t="s">
        <v>90</v>
      </c>
      <c r="K114" s="13"/>
    </row>
    <row r="115" customFormat="false" ht="18.75" hidden="false" customHeight="true" outlineLevel="0" collapsed="false">
      <c r="A115" s="17" t="n">
        <v>111</v>
      </c>
      <c r="B115" s="17" t="n">
        <v>112</v>
      </c>
      <c r="C115" s="23" t="s">
        <v>240</v>
      </c>
      <c r="D115" s="18" t="s">
        <v>549</v>
      </c>
      <c r="E115" s="18" t="s">
        <v>156</v>
      </c>
      <c r="F115" s="9" t="s">
        <v>46</v>
      </c>
      <c r="G115" s="19" t="n">
        <v>30000</v>
      </c>
      <c r="H115" s="19" t="n">
        <v>0</v>
      </c>
      <c r="I115" s="19" t="n">
        <v>0</v>
      </c>
      <c r="J115" s="18" t="s">
        <v>90</v>
      </c>
      <c r="K115" s="9"/>
    </row>
    <row r="116" customFormat="false" ht="18.75" hidden="false" customHeight="true" outlineLevel="0" collapsed="false">
      <c r="A116" s="20" t="n">
        <v>112</v>
      </c>
      <c r="B116" s="20" t="n">
        <v>113</v>
      </c>
      <c r="C116" s="24" t="s">
        <v>240</v>
      </c>
      <c r="D116" s="21" t="s">
        <v>941</v>
      </c>
      <c r="E116" s="21" t="s">
        <v>239</v>
      </c>
      <c r="F116" s="13" t="s">
        <v>233</v>
      </c>
      <c r="G116" s="22" t="n">
        <v>0</v>
      </c>
      <c r="H116" s="22" t="n">
        <v>0</v>
      </c>
      <c r="I116" s="22" t="n">
        <v>2250</v>
      </c>
      <c r="J116" s="21" t="s">
        <v>90</v>
      </c>
      <c r="K116" s="13"/>
    </row>
    <row r="117" customFormat="false" ht="18.75" hidden="false" customHeight="true" outlineLevel="0" collapsed="false">
      <c r="A117" s="17" t="n">
        <v>113</v>
      </c>
      <c r="B117" s="17" t="n">
        <v>114</v>
      </c>
      <c r="C117" s="23" t="s">
        <v>240</v>
      </c>
      <c r="D117" s="18" t="s">
        <v>549</v>
      </c>
      <c r="E117" s="18" t="s">
        <v>158</v>
      </c>
      <c r="F117" s="9" t="s">
        <v>233</v>
      </c>
      <c r="G117" s="19" t="n">
        <v>5000</v>
      </c>
      <c r="H117" s="19" t="n">
        <v>0</v>
      </c>
      <c r="I117" s="19" t="n">
        <v>0</v>
      </c>
      <c r="J117" s="18" t="s">
        <v>90</v>
      </c>
      <c r="K117" s="9"/>
    </row>
    <row r="118" customFormat="false" ht="18.75" hidden="false" customHeight="true" outlineLevel="0" collapsed="false">
      <c r="A118" s="20" t="n">
        <v>114</v>
      </c>
      <c r="B118" s="20" t="n">
        <v>115</v>
      </c>
      <c r="C118" s="24" t="s">
        <v>242</v>
      </c>
      <c r="D118" s="21" t="s">
        <v>941</v>
      </c>
      <c r="E118" s="21" t="s">
        <v>241</v>
      </c>
      <c r="F118" s="13" t="s">
        <v>46</v>
      </c>
      <c r="G118" s="22" t="n">
        <v>0</v>
      </c>
      <c r="H118" s="22" t="n">
        <v>0</v>
      </c>
      <c r="I118" s="22" t="n">
        <v>77635.5</v>
      </c>
      <c r="J118" s="21" t="s">
        <v>90</v>
      </c>
      <c r="K118" s="13"/>
    </row>
    <row r="119" customFormat="false" ht="18.75" hidden="false" customHeight="true" outlineLevel="0" collapsed="false">
      <c r="A119" s="17" t="n">
        <v>115</v>
      </c>
      <c r="B119" s="17" t="n">
        <v>116</v>
      </c>
      <c r="C119" s="23" t="s">
        <v>242</v>
      </c>
      <c r="D119" s="18" t="s">
        <v>549</v>
      </c>
      <c r="E119" s="18" t="s">
        <v>162</v>
      </c>
      <c r="F119" s="9" t="s">
        <v>38</v>
      </c>
      <c r="G119" s="19" t="n">
        <v>80000</v>
      </c>
      <c r="H119" s="19" t="n">
        <v>0</v>
      </c>
      <c r="I119" s="19" t="n">
        <v>0</v>
      </c>
      <c r="J119" s="18" t="s">
        <v>147</v>
      </c>
      <c r="K119" s="9"/>
    </row>
    <row r="120" customFormat="false" ht="18.75" hidden="false" customHeight="true" outlineLevel="0" collapsed="false">
      <c r="A120" s="20" t="n">
        <v>116</v>
      </c>
      <c r="B120" s="20" t="n">
        <v>117</v>
      </c>
      <c r="C120" s="24" t="s">
        <v>578</v>
      </c>
      <c r="D120" s="21" t="s">
        <v>549</v>
      </c>
      <c r="E120" s="21" t="s">
        <v>160</v>
      </c>
      <c r="F120" s="13" t="s">
        <v>38</v>
      </c>
      <c r="G120" s="22" t="n">
        <v>165000</v>
      </c>
      <c r="H120" s="22" t="n">
        <v>0</v>
      </c>
      <c r="I120" s="22" t="n">
        <v>0</v>
      </c>
      <c r="J120" s="21" t="s">
        <v>90</v>
      </c>
      <c r="K120" s="13"/>
    </row>
    <row r="121" customFormat="false" ht="18.75" hidden="false" customHeight="true" outlineLevel="0" collapsed="false">
      <c r="A121" s="17" t="n">
        <v>117</v>
      </c>
      <c r="B121" s="17" t="n">
        <v>118</v>
      </c>
      <c r="C121" s="23" t="s">
        <v>578</v>
      </c>
      <c r="D121" s="18" t="s">
        <v>549</v>
      </c>
      <c r="E121" s="18" t="s">
        <v>164</v>
      </c>
      <c r="F121" s="9" t="s">
        <v>46</v>
      </c>
      <c r="G121" s="19" t="n">
        <v>15000</v>
      </c>
      <c r="H121" s="19" t="n">
        <v>0</v>
      </c>
      <c r="I121" s="19" t="n">
        <v>0</v>
      </c>
      <c r="J121" s="18" t="s">
        <v>90</v>
      </c>
      <c r="K121" s="9"/>
    </row>
    <row r="122" customFormat="false" ht="18.75" hidden="false" customHeight="true" outlineLevel="0" collapsed="false">
      <c r="A122" s="20" t="n">
        <v>118</v>
      </c>
      <c r="B122" s="20" t="n">
        <v>119</v>
      </c>
      <c r="C122" s="24" t="s">
        <v>578</v>
      </c>
      <c r="D122" s="21" t="s">
        <v>549</v>
      </c>
      <c r="E122" s="21" t="s">
        <v>166</v>
      </c>
      <c r="F122" s="13" t="s">
        <v>46</v>
      </c>
      <c r="G122" s="22" t="n">
        <v>5000</v>
      </c>
      <c r="H122" s="22" t="n">
        <v>0</v>
      </c>
      <c r="I122" s="22" t="n">
        <v>0</v>
      </c>
      <c r="J122" s="21" t="s">
        <v>147</v>
      </c>
      <c r="K122" s="13"/>
    </row>
    <row r="123" customFormat="false" ht="18.75" hidden="false" customHeight="true" outlineLevel="0" collapsed="false">
      <c r="A123" s="17" t="n">
        <v>119</v>
      </c>
      <c r="B123" s="17" t="n">
        <v>120</v>
      </c>
      <c r="C123" s="23" t="s">
        <v>579</v>
      </c>
      <c r="D123" s="18" t="s">
        <v>549</v>
      </c>
      <c r="E123" s="18" t="s">
        <v>168</v>
      </c>
      <c r="F123" s="9" t="s">
        <v>38</v>
      </c>
      <c r="G123" s="19" t="n">
        <v>40000</v>
      </c>
      <c r="H123" s="19" t="n">
        <v>0</v>
      </c>
      <c r="I123" s="19" t="n">
        <v>0</v>
      </c>
      <c r="J123" s="18" t="s">
        <v>147</v>
      </c>
      <c r="K123" s="9"/>
    </row>
    <row r="124" customFormat="false" ht="18.75" hidden="false" customHeight="true" outlineLevel="0" collapsed="false">
      <c r="A124" s="20" t="n">
        <v>120</v>
      </c>
      <c r="B124" s="20" t="n">
        <v>121</v>
      </c>
      <c r="C124" s="24" t="s">
        <v>244</v>
      </c>
      <c r="D124" s="21" t="s">
        <v>941</v>
      </c>
      <c r="E124" s="21" t="s">
        <v>243</v>
      </c>
      <c r="F124" s="13" t="s">
        <v>38</v>
      </c>
      <c r="G124" s="22" t="n">
        <v>0</v>
      </c>
      <c r="H124" s="22" t="n">
        <v>0</v>
      </c>
      <c r="I124" s="22" t="n">
        <v>59650</v>
      </c>
      <c r="J124" s="21" t="s">
        <v>90</v>
      </c>
      <c r="K124" s="13"/>
    </row>
    <row r="125" customFormat="false" ht="18.75" hidden="false" customHeight="true" outlineLevel="0" collapsed="false">
      <c r="A125" s="17" t="n">
        <v>121</v>
      </c>
      <c r="B125" s="17" t="n">
        <v>122</v>
      </c>
      <c r="C125" s="23" t="s">
        <v>244</v>
      </c>
      <c r="D125" s="18" t="s">
        <v>941</v>
      </c>
      <c r="E125" s="18" t="s">
        <v>245</v>
      </c>
      <c r="F125" s="9" t="s">
        <v>40</v>
      </c>
      <c r="G125" s="19" t="n">
        <v>0</v>
      </c>
      <c r="H125" s="19" t="n">
        <v>0</v>
      </c>
      <c r="I125" s="19" t="n">
        <v>80762.44</v>
      </c>
      <c r="J125" s="18" t="s">
        <v>90</v>
      </c>
      <c r="K125" s="9"/>
    </row>
    <row r="126" customFormat="false" ht="18.75" hidden="false" customHeight="true" outlineLevel="0" collapsed="false">
      <c r="A126" s="20" t="n">
        <v>122</v>
      </c>
      <c r="B126" s="20" t="n">
        <v>123</v>
      </c>
      <c r="C126" s="24" t="s">
        <v>244</v>
      </c>
      <c r="D126" s="21" t="s">
        <v>549</v>
      </c>
      <c r="E126" s="21" t="s">
        <v>170</v>
      </c>
      <c r="F126" s="13" t="s">
        <v>38</v>
      </c>
      <c r="G126" s="22" t="n">
        <v>85000</v>
      </c>
      <c r="H126" s="22" t="n">
        <v>0</v>
      </c>
      <c r="I126" s="22" t="n">
        <v>0</v>
      </c>
      <c r="J126" s="21" t="s">
        <v>90</v>
      </c>
      <c r="K126" s="13"/>
    </row>
    <row r="127" customFormat="false" ht="18.75" hidden="false" customHeight="true" outlineLevel="0" collapsed="false">
      <c r="A127" s="17" t="n">
        <v>123</v>
      </c>
      <c r="B127" s="17" t="n">
        <v>124</v>
      </c>
      <c r="C127" s="23" t="s">
        <v>580</v>
      </c>
      <c r="D127" s="18" t="s">
        <v>549</v>
      </c>
      <c r="E127" s="18" t="s">
        <v>171</v>
      </c>
      <c r="F127" s="9" t="s">
        <v>183</v>
      </c>
      <c r="G127" s="19" t="n">
        <v>10000</v>
      </c>
      <c r="H127" s="19" t="n">
        <v>0</v>
      </c>
      <c r="I127" s="19" t="n">
        <v>0</v>
      </c>
      <c r="J127" s="18" t="s">
        <v>90</v>
      </c>
      <c r="K127" s="9"/>
    </row>
    <row r="128" customFormat="false" ht="18.75" hidden="false" customHeight="true" outlineLevel="0" collapsed="false">
      <c r="A128" s="20" t="n">
        <v>124</v>
      </c>
      <c r="B128" s="20" t="n">
        <v>125</v>
      </c>
      <c r="C128" s="24" t="s">
        <v>580</v>
      </c>
      <c r="D128" s="21" t="s">
        <v>549</v>
      </c>
      <c r="E128" s="21" t="s">
        <v>173</v>
      </c>
      <c r="F128" s="13" t="s">
        <v>46</v>
      </c>
      <c r="G128" s="22" t="n">
        <v>30000</v>
      </c>
      <c r="H128" s="22" t="n">
        <v>0</v>
      </c>
      <c r="I128" s="22" t="n">
        <v>0</v>
      </c>
      <c r="J128" s="21" t="s">
        <v>90</v>
      </c>
      <c r="K128" s="13"/>
    </row>
    <row r="129" customFormat="false" ht="18.75" hidden="false" customHeight="true" outlineLevel="0" collapsed="false">
      <c r="A129" s="17" t="n">
        <v>125</v>
      </c>
      <c r="B129" s="17" t="n">
        <v>126</v>
      </c>
      <c r="C129" s="23" t="s">
        <v>581</v>
      </c>
      <c r="D129" s="18" t="s">
        <v>549</v>
      </c>
      <c r="E129" s="18" t="s">
        <v>175</v>
      </c>
      <c r="F129" s="9" t="s">
        <v>38</v>
      </c>
      <c r="G129" s="19" t="n">
        <v>45000</v>
      </c>
      <c r="H129" s="19" t="n">
        <v>0</v>
      </c>
      <c r="I129" s="19" t="n">
        <v>0</v>
      </c>
      <c r="J129" s="18" t="s">
        <v>90</v>
      </c>
      <c r="K129" s="9"/>
    </row>
    <row r="130" customFormat="false" ht="18.75" hidden="false" customHeight="true" outlineLevel="0" collapsed="false">
      <c r="A130" s="20" t="n">
        <v>126</v>
      </c>
      <c r="B130" s="20" t="n">
        <v>127</v>
      </c>
      <c r="C130" s="24" t="s">
        <v>582</v>
      </c>
      <c r="D130" s="21" t="s">
        <v>549</v>
      </c>
      <c r="E130" s="21" t="s">
        <v>177</v>
      </c>
      <c r="F130" s="13" t="s">
        <v>46</v>
      </c>
      <c r="G130" s="22" t="n">
        <v>20000</v>
      </c>
      <c r="H130" s="22" t="n">
        <v>0</v>
      </c>
      <c r="I130" s="22" t="n">
        <v>0</v>
      </c>
      <c r="J130" s="21" t="s">
        <v>147</v>
      </c>
      <c r="K130" s="13"/>
    </row>
    <row r="131" customFormat="false" ht="18.75" hidden="false" customHeight="true" outlineLevel="0" collapsed="false">
      <c r="A131" s="17" t="n">
        <v>127</v>
      </c>
      <c r="B131" s="17" t="n">
        <v>128</v>
      </c>
      <c r="C131" s="23" t="s">
        <v>583</v>
      </c>
      <c r="D131" s="18" t="s">
        <v>549</v>
      </c>
      <c r="E131" s="18" t="s">
        <v>179</v>
      </c>
      <c r="F131" s="9" t="s">
        <v>38</v>
      </c>
      <c r="G131" s="19" t="n">
        <v>40000</v>
      </c>
      <c r="H131" s="19" t="n">
        <v>0</v>
      </c>
      <c r="I131" s="19" t="n">
        <v>0</v>
      </c>
      <c r="J131" s="18" t="s">
        <v>147</v>
      </c>
      <c r="K131" s="9"/>
    </row>
    <row r="132" customFormat="false" ht="18.75" hidden="false" customHeight="true" outlineLevel="0" collapsed="false">
      <c r="A132" s="20" t="n">
        <v>128</v>
      </c>
      <c r="B132" s="20" t="n">
        <v>129</v>
      </c>
      <c r="C132" s="24" t="s">
        <v>584</v>
      </c>
      <c r="D132" s="21" t="s">
        <v>549</v>
      </c>
      <c r="E132" s="21" t="s">
        <v>181</v>
      </c>
      <c r="F132" s="13" t="s">
        <v>38</v>
      </c>
      <c r="G132" s="22" t="n">
        <v>140000</v>
      </c>
      <c r="H132" s="22" t="n">
        <v>0</v>
      </c>
      <c r="I132" s="22" t="n">
        <v>0</v>
      </c>
      <c r="J132" s="21" t="s">
        <v>90</v>
      </c>
      <c r="K132" s="13"/>
    </row>
    <row r="133" customFormat="false" ht="18.75" hidden="false" customHeight="true" outlineLevel="0" collapsed="false">
      <c r="A133" s="17" t="n">
        <v>129</v>
      </c>
      <c r="B133" s="17" t="n">
        <v>130</v>
      </c>
      <c r="C133" s="23" t="s">
        <v>584</v>
      </c>
      <c r="D133" s="18" t="s">
        <v>549</v>
      </c>
      <c r="E133" s="18" t="s">
        <v>184</v>
      </c>
      <c r="F133" s="9" t="s">
        <v>38</v>
      </c>
      <c r="G133" s="19" t="n">
        <v>40000</v>
      </c>
      <c r="H133" s="19" t="n">
        <v>0</v>
      </c>
      <c r="I133" s="19" t="n">
        <v>0</v>
      </c>
      <c r="J133" s="18" t="s">
        <v>147</v>
      </c>
      <c r="K133" s="9"/>
    </row>
    <row r="134" customFormat="false" ht="18.75" hidden="false" customHeight="true" outlineLevel="0" collapsed="false">
      <c r="A134" s="20" t="n">
        <v>130</v>
      </c>
      <c r="B134" s="20" t="n">
        <v>131</v>
      </c>
      <c r="C134" s="24" t="s">
        <v>584</v>
      </c>
      <c r="D134" s="21" t="s">
        <v>549</v>
      </c>
      <c r="E134" s="21" t="s">
        <v>185</v>
      </c>
      <c r="F134" s="13" t="s">
        <v>38</v>
      </c>
      <c r="G134" s="22" t="n">
        <v>10000</v>
      </c>
      <c r="H134" s="22" t="n">
        <v>0</v>
      </c>
      <c r="I134" s="22" t="n">
        <v>0</v>
      </c>
      <c r="J134" s="21" t="s">
        <v>90</v>
      </c>
      <c r="K134" s="13" t="s">
        <v>585</v>
      </c>
    </row>
    <row r="135" customFormat="false" ht="18.75" hidden="false" customHeight="true" outlineLevel="0" collapsed="false">
      <c r="A135" s="17" t="n">
        <v>131</v>
      </c>
      <c r="B135" s="17" t="n">
        <v>132</v>
      </c>
      <c r="C135" s="23" t="s">
        <v>586</v>
      </c>
      <c r="D135" s="18" t="s">
        <v>549</v>
      </c>
      <c r="E135" s="18" t="s">
        <v>187</v>
      </c>
      <c r="F135" s="9" t="s">
        <v>46</v>
      </c>
      <c r="G135" s="19" t="n">
        <v>20000</v>
      </c>
      <c r="H135" s="19" t="n">
        <v>0</v>
      </c>
      <c r="I135" s="19" t="n">
        <v>0</v>
      </c>
      <c r="J135" s="18" t="s">
        <v>90</v>
      </c>
      <c r="K135" s="9"/>
    </row>
    <row r="136" customFormat="false" ht="18.75" hidden="false" customHeight="true" outlineLevel="0" collapsed="false">
      <c r="A136" s="20" t="n">
        <v>132</v>
      </c>
      <c r="B136" s="20" t="n">
        <v>137</v>
      </c>
      <c r="C136" s="24" t="s">
        <v>587</v>
      </c>
      <c r="D136" s="21" t="s">
        <v>549</v>
      </c>
      <c r="E136" s="21" t="s">
        <v>191</v>
      </c>
      <c r="F136" s="13" t="s">
        <v>38</v>
      </c>
      <c r="G136" s="22" t="n">
        <v>35000</v>
      </c>
      <c r="H136" s="22" t="n">
        <v>0</v>
      </c>
      <c r="I136" s="22" t="n">
        <v>0</v>
      </c>
      <c r="J136" s="21" t="s">
        <v>90</v>
      </c>
      <c r="K136" s="13"/>
    </row>
    <row r="137" customFormat="false" ht="18.75" hidden="false" customHeight="true" outlineLevel="0" collapsed="false">
      <c r="A137" s="17" t="n">
        <v>133</v>
      </c>
      <c r="B137" s="17" t="n">
        <v>134</v>
      </c>
      <c r="C137" s="23" t="s">
        <v>588</v>
      </c>
      <c r="D137" s="18" t="s">
        <v>549</v>
      </c>
      <c r="E137" s="18" t="s">
        <v>189</v>
      </c>
      <c r="F137" s="9" t="s">
        <v>46</v>
      </c>
      <c r="G137" s="19" t="n">
        <v>10000</v>
      </c>
      <c r="H137" s="19" t="n">
        <v>0</v>
      </c>
      <c r="I137" s="19" t="n">
        <v>0</v>
      </c>
      <c r="J137" s="18" t="s">
        <v>90</v>
      </c>
      <c r="K137" s="9"/>
    </row>
    <row r="138" customFormat="false" ht="18.75" hidden="false" customHeight="true" outlineLevel="0" collapsed="false">
      <c r="A138" s="20" t="n">
        <v>134</v>
      </c>
      <c r="B138" s="20" t="n">
        <v>135</v>
      </c>
      <c r="C138" s="24" t="s">
        <v>247</v>
      </c>
      <c r="D138" s="21" t="s">
        <v>941</v>
      </c>
      <c r="E138" s="21" t="s">
        <v>246</v>
      </c>
      <c r="F138" s="13" t="s">
        <v>121</v>
      </c>
      <c r="G138" s="22" t="n">
        <v>0</v>
      </c>
      <c r="H138" s="22" t="n">
        <v>0</v>
      </c>
      <c r="I138" s="22" t="n">
        <v>22500</v>
      </c>
      <c r="J138" s="21" t="s">
        <v>90</v>
      </c>
      <c r="K138" s="13"/>
    </row>
    <row r="139" customFormat="false" ht="18.75" hidden="false" customHeight="true" outlineLevel="0" collapsed="false">
      <c r="A139" s="17" t="n">
        <v>135</v>
      </c>
      <c r="B139" s="17" t="n">
        <v>136</v>
      </c>
      <c r="C139" s="23" t="s">
        <v>247</v>
      </c>
      <c r="D139" s="18" t="s">
        <v>941</v>
      </c>
      <c r="E139" s="18" t="s">
        <v>248</v>
      </c>
      <c r="F139" s="9" t="s">
        <v>38</v>
      </c>
      <c r="G139" s="19" t="n">
        <v>33700</v>
      </c>
      <c r="H139" s="19" t="n">
        <v>0</v>
      </c>
      <c r="I139" s="19" t="n">
        <v>91706.5</v>
      </c>
      <c r="J139" s="18" t="s">
        <v>90</v>
      </c>
      <c r="K139" s="9" t="s">
        <v>249</v>
      </c>
    </row>
    <row r="140" customFormat="false" ht="18.75" hidden="false" customHeight="true" outlineLevel="0" collapsed="false">
      <c r="A140" s="20" t="n">
        <v>136</v>
      </c>
      <c r="B140" s="20" t="n">
        <v>138</v>
      </c>
      <c r="C140" s="24" t="s">
        <v>589</v>
      </c>
      <c r="D140" s="21" t="s">
        <v>549</v>
      </c>
      <c r="E140" s="21" t="s">
        <v>193</v>
      </c>
      <c r="F140" s="13" t="s">
        <v>38</v>
      </c>
      <c r="G140" s="22" t="n">
        <v>26000</v>
      </c>
      <c r="H140" s="22" t="n">
        <v>0</v>
      </c>
      <c r="I140" s="22" t="n">
        <v>0</v>
      </c>
      <c r="J140" s="21" t="s">
        <v>90</v>
      </c>
      <c r="K140" s="13" t="s">
        <v>590</v>
      </c>
    </row>
    <row r="141" customFormat="false" ht="18.75" hidden="false" customHeight="true" outlineLevel="0" collapsed="false">
      <c r="A141" s="17" t="n">
        <v>137</v>
      </c>
      <c r="B141" s="17" t="n">
        <v>139</v>
      </c>
      <c r="C141" s="23" t="s">
        <v>589</v>
      </c>
      <c r="D141" s="18" t="s">
        <v>549</v>
      </c>
      <c r="E141" s="18" t="s">
        <v>195</v>
      </c>
      <c r="F141" s="9" t="s">
        <v>46</v>
      </c>
      <c r="G141" s="19" t="n">
        <v>10000</v>
      </c>
      <c r="H141" s="19" t="n">
        <v>0</v>
      </c>
      <c r="I141" s="19" t="n">
        <v>0</v>
      </c>
      <c r="J141" s="18" t="s">
        <v>90</v>
      </c>
      <c r="K141" s="9"/>
    </row>
    <row r="142" customFormat="false" ht="18.75" hidden="false" customHeight="true" outlineLevel="0" collapsed="false">
      <c r="A142" s="20" t="n">
        <v>138</v>
      </c>
      <c r="B142" s="20" t="n">
        <v>141</v>
      </c>
      <c r="C142" s="24" t="s">
        <v>589</v>
      </c>
      <c r="D142" s="21" t="s">
        <v>549</v>
      </c>
      <c r="E142" s="21" t="s">
        <v>199</v>
      </c>
      <c r="F142" s="13" t="s">
        <v>38</v>
      </c>
      <c r="G142" s="22" t="n">
        <v>111300</v>
      </c>
      <c r="H142" s="22" t="n">
        <v>0</v>
      </c>
      <c r="I142" s="22" t="n">
        <v>0</v>
      </c>
      <c r="J142" s="21" t="s">
        <v>90</v>
      </c>
      <c r="K142" s="13"/>
    </row>
    <row r="143" customFormat="false" ht="18.75" hidden="false" customHeight="true" outlineLevel="0" collapsed="false">
      <c r="A143" s="17" t="n">
        <v>139</v>
      </c>
      <c r="B143" s="17" t="n">
        <v>147</v>
      </c>
      <c r="C143" s="23" t="s">
        <v>251</v>
      </c>
      <c r="D143" s="18" t="s">
        <v>941</v>
      </c>
      <c r="E143" s="18" t="s">
        <v>250</v>
      </c>
      <c r="F143" s="9" t="s">
        <v>46</v>
      </c>
      <c r="G143" s="19" t="n">
        <v>0</v>
      </c>
      <c r="H143" s="19" t="n">
        <v>0</v>
      </c>
      <c r="I143" s="19" t="n">
        <v>57000</v>
      </c>
      <c r="J143" s="18" t="s">
        <v>90</v>
      </c>
      <c r="K143" s="9"/>
    </row>
    <row r="144" customFormat="false" ht="18.75" hidden="false" customHeight="true" outlineLevel="0" collapsed="false">
      <c r="A144" s="20" t="n">
        <v>140</v>
      </c>
      <c r="B144" s="20" t="n">
        <v>140</v>
      </c>
      <c r="C144" s="24" t="s">
        <v>591</v>
      </c>
      <c r="D144" s="21" t="s">
        <v>549</v>
      </c>
      <c r="E144" s="21" t="s">
        <v>197</v>
      </c>
      <c r="F144" s="13" t="s">
        <v>38</v>
      </c>
      <c r="G144" s="22" t="n">
        <v>20000</v>
      </c>
      <c r="H144" s="22" t="n">
        <v>0</v>
      </c>
      <c r="I144" s="22" t="n">
        <v>0</v>
      </c>
      <c r="J144" s="21" t="s">
        <v>90</v>
      </c>
      <c r="K144" s="13"/>
    </row>
    <row r="145" customFormat="false" ht="18.75" hidden="false" customHeight="true" outlineLevel="0" collapsed="false">
      <c r="A145" s="17" t="n">
        <v>141</v>
      </c>
      <c r="B145" s="17" t="n">
        <v>185</v>
      </c>
      <c r="C145" s="23" t="s">
        <v>253</v>
      </c>
      <c r="D145" s="18" t="s">
        <v>941</v>
      </c>
      <c r="E145" s="18" t="s">
        <v>252</v>
      </c>
      <c r="F145" s="9" t="s">
        <v>56</v>
      </c>
      <c r="G145" s="19" t="n">
        <v>40320</v>
      </c>
      <c r="H145" s="19" t="n">
        <v>0</v>
      </c>
      <c r="I145" s="19" t="n">
        <v>0</v>
      </c>
      <c r="J145" s="18" t="s">
        <v>147</v>
      </c>
      <c r="K145" s="9"/>
    </row>
    <row r="146" customFormat="false" ht="18.75" hidden="false" customHeight="true" outlineLevel="0" collapsed="false">
      <c r="A146" s="20" t="n">
        <v>142</v>
      </c>
      <c r="B146" s="20" t="n">
        <v>142</v>
      </c>
      <c r="C146" s="24" t="s">
        <v>255</v>
      </c>
      <c r="D146" s="21" t="s">
        <v>549</v>
      </c>
      <c r="E146" s="21" t="s">
        <v>201</v>
      </c>
      <c r="F146" s="13" t="s">
        <v>38</v>
      </c>
      <c r="G146" s="22" t="n">
        <v>10000</v>
      </c>
      <c r="H146" s="22" t="n">
        <v>0</v>
      </c>
      <c r="I146" s="22" t="n">
        <v>0</v>
      </c>
      <c r="J146" s="21" t="s">
        <v>147</v>
      </c>
      <c r="K146" s="13"/>
    </row>
    <row r="147" customFormat="false" ht="18.75" hidden="false" customHeight="true" outlineLevel="0" collapsed="false">
      <c r="A147" s="17" t="n">
        <v>143</v>
      </c>
      <c r="B147" s="17" t="n">
        <v>143</v>
      </c>
      <c r="C147" s="23" t="s">
        <v>255</v>
      </c>
      <c r="D147" s="18" t="s">
        <v>549</v>
      </c>
      <c r="E147" s="18" t="s">
        <v>202</v>
      </c>
      <c r="F147" s="9" t="s">
        <v>38</v>
      </c>
      <c r="G147" s="19" t="n">
        <v>20000</v>
      </c>
      <c r="H147" s="19" t="n">
        <v>0</v>
      </c>
      <c r="I147" s="19" t="n">
        <v>0</v>
      </c>
      <c r="J147" s="18" t="s">
        <v>90</v>
      </c>
      <c r="K147" s="9"/>
    </row>
    <row r="148" customFormat="false" ht="18.75" hidden="false" customHeight="true" outlineLevel="0" collapsed="false">
      <c r="A148" s="20" t="n">
        <v>144</v>
      </c>
      <c r="B148" s="20" t="n">
        <v>145</v>
      </c>
      <c r="C148" s="24" t="s">
        <v>255</v>
      </c>
      <c r="D148" s="21" t="s">
        <v>941</v>
      </c>
      <c r="E148" s="21" t="s">
        <v>254</v>
      </c>
      <c r="F148" s="13" t="s">
        <v>38</v>
      </c>
      <c r="G148" s="22" t="n">
        <v>0</v>
      </c>
      <c r="H148" s="22" t="n">
        <v>0</v>
      </c>
      <c r="I148" s="22" t="n">
        <v>125000</v>
      </c>
      <c r="J148" s="21" t="s">
        <v>90</v>
      </c>
      <c r="K148" s="13"/>
    </row>
    <row r="149" customFormat="false" ht="18.75" hidden="false" customHeight="true" outlineLevel="0" collapsed="false">
      <c r="A149" s="17" t="n">
        <v>145</v>
      </c>
      <c r="B149" s="17" t="n">
        <v>146</v>
      </c>
      <c r="C149" s="23" t="s">
        <v>257</v>
      </c>
      <c r="D149" s="18" t="s">
        <v>941</v>
      </c>
      <c r="E149" s="18" t="s">
        <v>256</v>
      </c>
      <c r="F149" s="9" t="s">
        <v>40</v>
      </c>
      <c r="G149" s="19" t="n">
        <v>0</v>
      </c>
      <c r="H149" s="19" t="n">
        <v>0</v>
      </c>
      <c r="I149" s="19" t="n">
        <v>57349</v>
      </c>
      <c r="J149" s="18" t="s">
        <v>90</v>
      </c>
      <c r="K149" s="9"/>
    </row>
    <row r="150" customFormat="false" ht="18.75" hidden="false" customHeight="true" outlineLevel="0" collapsed="false">
      <c r="A150" s="20" t="n">
        <v>146</v>
      </c>
      <c r="B150" s="20" t="n">
        <v>148</v>
      </c>
      <c r="C150" s="24" t="s">
        <v>257</v>
      </c>
      <c r="D150" s="21" t="s">
        <v>941</v>
      </c>
      <c r="E150" s="21" t="s">
        <v>258</v>
      </c>
      <c r="F150" s="13" t="s">
        <v>46</v>
      </c>
      <c r="G150" s="22" t="n">
        <v>0</v>
      </c>
      <c r="H150" s="22" t="n">
        <v>0</v>
      </c>
      <c r="I150" s="22" t="n">
        <v>29768</v>
      </c>
      <c r="J150" s="21" t="s">
        <v>90</v>
      </c>
      <c r="K150" s="13"/>
    </row>
    <row r="151" customFormat="false" ht="18.75" hidden="false" customHeight="true" outlineLevel="0" collapsed="false">
      <c r="A151" s="17" t="n">
        <v>147</v>
      </c>
      <c r="B151" s="17" t="n">
        <v>149</v>
      </c>
      <c r="C151" s="23" t="s">
        <v>257</v>
      </c>
      <c r="D151" s="18" t="s">
        <v>549</v>
      </c>
      <c r="E151" s="18" t="s">
        <v>205</v>
      </c>
      <c r="F151" s="9" t="s">
        <v>46</v>
      </c>
      <c r="G151" s="19" t="n">
        <v>10000</v>
      </c>
      <c r="H151" s="19" t="n">
        <v>0</v>
      </c>
      <c r="I151" s="19" t="n">
        <v>0</v>
      </c>
      <c r="J151" s="18" t="s">
        <v>147</v>
      </c>
      <c r="K151" s="9"/>
    </row>
    <row r="152" customFormat="false" ht="18.75" hidden="false" customHeight="true" outlineLevel="0" collapsed="false">
      <c r="A152" s="20" t="n">
        <v>148</v>
      </c>
      <c r="B152" s="20" t="n">
        <v>144</v>
      </c>
      <c r="C152" s="24" t="s">
        <v>592</v>
      </c>
      <c r="D152" s="21" t="s">
        <v>549</v>
      </c>
      <c r="E152" s="21" t="s">
        <v>204</v>
      </c>
      <c r="F152" s="13" t="s">
        <v>38</v>
      </c>
      <c r="G152" s="22" t="n">
        <v>20000</v>
      </c>
      <c r="H152" s="22" t="n">
        <v>0</v>
      </c>
      <c r="I152" s="22" t="n">
        <v>0</v>
      </c>
      <c r="J152" s="21" t="s">
        <v>90</v>
      </c>
      <c r="K152" s="13" t="s">
        <v>593</v>
      </c>
    </row>
    <row r="153" customFormat="false" ht="18.75" hidden="false" customHeight="true" outlineLevel="0" collapsed="false">
      <c r="A153" s="17" t="n">
        <v>149</v>
      </c>
      <c r="B153" s="17" t="n">
        <v>150</v>
      </c>
      <c r="C153" s="23" t="s">
        <v>260</v>
      </c>
      <c r="D153" s="18" t="s">
        <v>549</v>
      </c>
      <c r="E153" s="18" t="s">
        <v>210</v>
      </c>
      <c r="F153" s="9" t="s">
        <v>46</v>
      </c>
      <c r="G153" s="19" t="n">
        <v>5000</v>
      </c>
      <c r="H153" s="19" t="n">
        <v>0</v>
      </c>
      <c r="I153" s="19" t="n">
        <v>0</v>
      </c>
      <c r="J153" s="18" t="s">
        <v>90</v>
      </c>
      <c r="K153" s="9"/>
    </row>
    <row r="154" customFormat="false" ht="18.75" hidden="false" customHeight="true" outlineLevel="0" collapsed="false">
      <c r="A154" s="20" t="n">
        <v>150</v>
      </c>
      <c r="B154" s="20" t="n">
        <v>151</v>
      </c>
      <c r="C154" s="24" t="s">
        <v>260</v>
      </c>
      <c r="D154" s="21" t="s">
        <v>941</v>
      </c>
      <c r="E154" s="21" t="s">
        <v>259</v>
      </c>
      <c r="F154" s="13" t="s">
        <v>38</v>
      </c>
      <c r="G154" s="22" t="n">
        <v>0</v>
      </c>
      <c r="H154" s="22" t="n">
        <v>0</v>
      </c>
      <c r="I154" s="22" t="n">
        <v>107453</v>
      </c>
      <c r="J154" s="21" t="s">
        <v>90</v>
      </c>
      <c r="K154" s="13"/>
    </row>
    <row r="155" customFormat="false" ht="18.75" hidden="false" customHeight="true" outlineLevel="0" collapsed="false">
      <c r="A155" s="17" t="n">
        <v>151</v>
      </c>
      <c r="B155" s="17" t="n">
        <v>184</v>
      </c>
      <c r="C155" s="23" t="s">
        <v>262</v>
      </c>
      <c r="D155" s="18" t="s">
        <v>941</v>
      </c>
      <c r="E155" s="18" t="s">
        <v>261</v>
      </c>
      <c r="F155" s="9" t="s">
        <v>56</v>
      </c>
      <c r="G155" s="19" t="n">
        <v>40320</v>
      </c>
      <c r="H155" s="19" t="n">
        <v>0</v>
      </c>
      <c r="I155" s="19" t="n">
        <v>0</v>
      </c>
      <c r="J155" s="18" t="s">
        <v>147</v>
      </c>
      <c r="K155" s="9"/>
    </row>
    <row r="156" customFormat="false" ht="18.75" hidden="false" customHeight="true" outlineLevel="0" collapsed="false">
      <c r="A156" s="20" t="n">
        <v>152</v>
      </c>
      <c r="B156" s="20" t="n">
        <v>152</v>
      </c>
      <c r="C156" s="24" t="s">
        <v>594</v>
      </c>
      <c r="D156" s="21" t="s">
        <v>549</v>
      </c>
      <c r="E156" s="21" t="s">
        <v>212</v>
      </c>
      <c r="F156" s="13" t="s">
        <v>38</v>
      </c>
      <c r="G156" s="22" t="n">
        <v>49000</v>
      </c>
      <c r="H156" s="22" t="n">
        <v>0</v>
      </c>
      <c r="I156" s="22" t="n">
        <v>0</v>
      </c>
      <c r="J156" s="21" t="s">
        <v>90</v>
      </c>
      <c r="K156" s="13"/>
    </row>
    <row r="157" customFormat="false" ht="18.75" hidden="false" customHeight="true" outlineLevel="0" collapsed="false">
      <c r="A157" s="17" t="n">
        <v>153</v>
      </c>
      <c r="B157" s="17" t="n">
        <v>153</v>
      </c>
      <c r="C157" s="23" t="s">
        <v>595</v>
      </c>
      <c r="D157" s="18" t="s">
        <v>549</v>
      </c>
      <c r="E157" s="18" t="s">
        <v>214</v>
      </c>
      <c r="F157" s="9" t="s">
        <v>46</v>
      </c>
      <c r="G157" s="19" t="n">
        <v>8000</v>
      </c>
      <c r="H157" s="19" t="n">
        <v>0</v>
      </c>
      <c r="I157" s="19" t="n">
        <v>0</v>
      </c>
      <c r="J157" s="18" t="s">
        <v>90</v>
      </c>
      <c r="K157" s="9"/>
    </row>
    <row r="158" customFormat="false" ht="18.75" hidden="false" customHeight="true" outlineLevel="0" collapsed="false">
      <c r="A158" s="20" t="n">
        <v>154</v>
      </c>
      <c r="B158" s="20" t="n">
        <v>154</v>
      </c>
      <c r="C158" s="24" t="s">
        <v>264</v>
      </c>
      <c r="D158" s="21" t="s">
        <v>549</v>
      </c>
      <c r="E158" s="21" t="s">
        <v>216</v>
      </c>
      <c r="F158" s="13" t="s">
        <v>38</v>
      </c>
      <c r="G158" s="22" t="n">
        <v>2000</v>
      </c>
      <c r="H158" s="22" t="n">
        <v>0</v>
      </c>
      <c r="I158" s="22" t="n">
        <v>0</v>
      </c>
      <c r="J158" s="21" t="s">
        <v>90</v>
      </c>
      <c r="K158" s="13" t="s">
        <v>596</v>
      </c>
    </row>
    <row r="159" customFormat="false" ht="18.75" hidden="false" customHeight="true" outlineLevel="0" collapsed="false">
      <c r="A159" s="17" t="n">
        <v>155</v>
      </c>
      <c r="B159" s="17" t="n">
        <v>155</v>
      </c>
      <c r="C159" s="23" t="s">
        <v>264</v>
      </c>
      <c r="D159" s="18" t="s">
        <v>941</v>
      </c>
      <c r="E159" s="18" t="s">
        <v>263</v>
      </c>
      <c r="F159" s="9" t="s">
        <v>38</v>
      </c>
      <c r="G159" s="19" t="n">
        <v>0</v>
      </c>
      <c r="H159" s="19" t="n">
        <v>0</v>
      </c>
      <c r="I159" s="19" t="n">
        <v>3900</v>
      </c>
      <c r="J159" s="18" t="s">
        <v>90</v>
      </c>
      <c r="K159" s="9"/>
    </row>
    <row r="160" customFormat="false" ht="18.75" hidden="false" customHeight="true" outlineLevel="0" collapsed="false">
      <c r="A160" s="20" t="n">
        <v>156</v>
      </c>
      <c r="B160" s="20" t="n">
        <v>156</v>
      </c>
      <c r="C160" s="24" t="s">
        <v>266</v>
      </c>
      <c r="D160" s="21" t="s">
        <v>941</v>
      </c>
      <c r="E160" s="21" t="s">
        <v>265</v>
      </c>
      <c r="F160" s="13" t="s">
        <v>40</v>
      </c>
      <c r="G160" s="22" t="n">
        <v>0</v>
      </c>
      <c r="H160" s="22" t="n">
        <v>0</v>
      </c>
      <c r="I160" s="22" t="n">
        <v>85165.13</v>
      </c>
      <c r="J160" s="21" t="s">
        <v>90</v>
      </c>
      <c r="K160" s="13"/>
    </row>
    <row r="161" customFormat="false" ht="18.75" hidden="false" customHeight="true" outlineLevel="0" collapsed="false">
      <c r="A161" s="17" t="n">
        <v>157</v>
      </c>
      <c r="B161" s="17" t="n">
        <v>157</v>
      </c>
      <c r="C161" s="23" t="s">
        <v>266</v>
      </c>
      <c r="D161" s="18" t="s">
        <v>941</v>
      </c>
      <c r="E161" s="18" t="s">
        <v>267</v>
      </c>
      <c r="F161" s="9" t="s">
        <v>46</v>
      </c>
      <c r="G161" s="19" t="n">
        <v>0</v>
      </c>
      <c r="H161" s="19" t="n">
        <v>0</v>
      </c>
      <c r="I161" s="19" t="n">
        <v>5776</v>
      </c>
      <c r="J161" s="18" t="s">
        <v>90</v>
      </c>
      <c r="K161" s="9"/>
    </row>
    <row r="162" customFormat="false" ht="18.75" hidden="false" customHeight="true" outlineLevel="0" collapsed="false">
      <c r="A162" s="20" t="n">
        <v>158</v>
      </c>
      <c r="B162" s="20" t="n">
        <v>158</v>
      </c>
      <c r="C162" s="24" t="s">
        <v>269</v>
      </c>
      <c r="D162" s="21" t="s">
        <v>941</v>
      </c>
      <c r="E162" s="21" t="s">
        <v>268</v>
      </c>
      <c r="F162" s="13" t="s">
        <v>38</v>
      </c>
      <c r="G162" s="22" t="n">
        <v>0</v>
      </c>
      <c r="H162" s="22" t="n">
        <v>0</v>
      </c>
      <c r="I162" s="22" t="n">
        <v>54551</v>
      </c>
      <c r="J162" s="21" t="s">
        <v>90</v>
      </c>
      <c r="K162" s="13"/>
    </row>
    <row r="163" customFormat="false" ht="18.75" hidden="false" customHeight="true" outlineLevel="0" collapsed="false">
      <c r="A163" s="17" t="n">
        <v>159</v>
      </c>
      <c r="B163" s="17" t="n">
        <v>159</v>
      </c>
      <c r="C163" s="23" t="s">
        <v>597</v>
      </c>
      <c r="D163" s="18" t="s">
        <v>549</v>
      </c>
      <c r="E163" s="18" t="s">
        <v>218</v>
      </c>
      <c r="F163" s="9" t="s">
        <v>38</v>
      </c>
      <c r="G163" s="19" t="n">
        <v>44000</v>
      </c>
      <c r="H163" s="19" t="n">
        <v>0</v>
      </c>
      <c r="I163" s="19" t="n">
        <v>0</v>
      </c>
      <c r="J163" s="18" t="s">
        <v>90</v>
      </c>
      <c r="K163" s="9"/>
    </row>
    <row r="164" customFormat="false" ht="18.75" hidden="false" customHeight="true" outlineLevel="0" collapsed="false">
      <c r="A164" s="20" t="n">
        <v>160</v>
      </c>
      <c r="B164" s="20" t="n">
        <v>160</v>
      </c>
      <c r="C164" s="24" t="s">
        <v>598</v>
      </c>
      <c r="D164" s="21" t="s">
        <v>549</v>
      </c>
      <c r="E164" s="21" t="s">
        <v>220</v>
      </c>
      <c r="F164" s="13" t="s">
        <v>46</v>
      </c>
      <c r="G164" s="22" t="n">
        <v>10000</v>
      </c>
      <c r="H164" s="22" t="n">
        <v>0</v>
      </c>
      <c r="I164" s="22" t="n">
        <v>0</v>
      </c>
      <c r="J164" s="21" t="s">
        <v>90</v>
      </c>
      <c r="K164" s="13"/>
    </row>
    <row r="165" customFormat="false" ht="18.75" hidden="false" customHeight="true" outlineLevel="0" collapsed="false">
      <c r="A165" s="17" t="n">
        <v>161</v>
      </c>
      <c r="B165" s="17" t="n">
        <v>161</v>
      </c>
      <c r="C165" s="23" t="s">
        <v>271</v>
      </c>
      <c r="D165" s="18" t="s">
        <v>941</v>
      </c>
      <c r="E165" s="18" t="s">
        <v>270</v>
      </c>
      <c r="F165" s="9" t="s">
        <v>42</v>
      </c>
      <c r="G165" s="19" t="n">
        <v>30000</v>
      </c>
      <c r="H165" s="19" t="n">
        <v>0</v>
      </c>
      <c r="I165" s="19" t="n">
        <v>26196</v>
      </c>
      <c r="J165" s="18" t="s">
        <v>147</v>
      </c>
      <c r="K165" s="9"/>
    </row>
    <row r="166" customFormat="false" ht="18.75" hidden="false" customHeight="true" outlineLevel="0" collapsed="false">
      <c r="A166" s="20" t="n">
        <v>162</v>
      </c>
      <c r="B166" s="20" t="n">
        <v>162</v>
      </c>
      <c r="C166" s="24" t="s">
        <v>271</v>
      </c>
      <c r="D166" s="21" t="s">
        <v>941</v>
      </c>
      <c r="E166" s="21" t="s">
        <v>272</v>
      </c>
      <c r="F166" s="13" t="s">
        <v>38</v>
      </c>
      <c r="G166" s="22" t="n">
        <v>0</v>
      </c>
      <c r="H166" s="22" t="n">
        <v>0</v>
      </c>
      <c r="I166" s="22" t="n">
        <v>86076</v>
      </c>
      <c r="J166" s="21" t="s">
        <v>90</v>
      </c>
      <c r="K166" s="13"/>
    </row>
    <row r="167" customFormat="false" ht="18.75" hidden="false" customHeight="true" outlineLevel="0" collapsed="false">
      <c r="A167" s="17" t="n">
        <v>163</v>
      </c>
      <c r="B167" s="17" t="n">
        <v>163</v>
      </c>
      <c r="C167" s="23" t="s">
        <v>271</v>
      </c>
      <c r="D167" s="18" t="s">
        <v>549</v>
      </c>
      <c r="E167" s="18" t="s">
        <v>222</v>
      </c>
      <c r="F167" s="9" t="s">
        <v>38</v>
      </c>
      <c r="G167" s="19" t="n">
        <v>38000</v>
      </c>
      <c r="H167" s="19" t="n">
        <v>0</v>
      </c>
      <c r="I167" s="19" t="n">
        <v>0</v>
      </c>
      <c r="J167" s="18" t="s">
        <v>90</v>
      </c>
      <c r="K167" s="9"/>
    </row>
    <row r="168" customFormat="false" ht="18.75" hidden="false" customHeight="true" outlineLevel="0" collapsed="false">
      <c r="A168" s="20" t="n">
        <v>164</v>
      </c>
      <c r="B168" s="20" t="n">
        <v>164</v>
      </c>
      <c r="C168" s="24" t="s">
        <v>274</v>
      </c>
      <c r="D168" s="21" t="s">
        <v>549</v>
      </c>
      <c r="E168" s="21" t="s">
        <v>223</v>
      </c>
      <c r="F168" s="13" t="s">
        <v>38</v>
      </c>
      <c r="G168" s="22" t="n">
        <v>40000</v>
      </c>
      <c r="H168" s="22" t="n">
        <v>0</v>
      </c>
      <c r="I168" s="22" t="n">
        <v>0</v>
      </c>
      <c r="J168" s="21" t="s">
        <v>90</v>
      </c>
      <c r="K168" s="13" t="s">
        <v>599</v>
      </c>
    </row>
    <row r="169" customFormat="false" ht="18.75" hidden="false" customHeight="true" outlineLevel="0" collapsed="false">
      <c r="A169" s="17" t="n">
        <v>165</v>
      </c>
      <c r="B169" s="17" t="n">
        <v>165</v>
      </c>
      <c r="C169" s="23" t="s">
        <v>274</v>
      </c>
      <c r="D169" s="18" t="s">
        <v>549</v>
      </c>
      <c r="E169" s="18" t="s">
        <v>225</v>
      </c>
      <c r="F169" s="9" t="s">
        <v>42</v>
      </c>
      <c r="G169" s="19" t="n">
        <v>30000</v>
      </c>
      <c r="H169" s="19" t="n">
        <v>0</v>
      </c>
      <c r="I169" s="19" t="n">
        <v>0</v>
      </c>
      <c r="J169" s="18" t="s">
        <v>147</v>
      </c>
      <c r="K169" s="9"/>
    </row>
    <row r="170" customFormat="false" ht="18.75" hidden="false" customHeight="true" outlineLevel="0" collapsed="false">
      <c r="A170" s="20" t="n">
        <v>166</v>
      </c>
      <c r="B170" s="20" t="n">
        <v>166</v>
      </c>
      <c r="C170" s="24" t="s">
        <v>274</v>
      </c>
      <c r="D170" s="21" t="s">
        <v>941</v>
      </c>
      <c r="E170" s="21" t="s">
        <v>273</v>
      </c>
      <c r="F170" s="13" t="s">
        <v>42</v>
      </c>
      <c r="G170" s="22" t="n">
        <v>0</v>
      </c>
      <c r="H170" s="22" t="n">
        <v>0</v>
      </c>
      <c r="I170" s="22" t="n">
        <v>18348</v>
      </c>
      <c r="J170" s="21" t="s">
        <v>90</v>
      </c>
      <c r="K170" s="13"/>
    </row>
    <row r="171" customFormat="false" ht="18.75" hidden="false" customHeight="true" outlineLevel="0" collapsed="false">
      <c r="A171" s="17" t="n">
        <v>167</v>
      </c>
      <c r="B171" s="17" t="n">
        <v>167</v>
      </c>
      <c r="C171" s="23" t="s">
        <v>274</v>
      </c>
      <c r="D171" s="18" t="s">
        <v>941</v>
      </c>
      <c r="E171" s="18" t="s">
        <v>275</v>
      </c>
      <c r="F171" s="9" t="s">
        <v>38</v>
      </c>
      <c r="G171" s="19" t="n">
        <v>0</v>
      </c>
      <c r="H171" s="19" t="n">
        <v>0</v>
      </c>
      <c r="I171" s="19" t="n">
        <v>32850</v>
      </c>
      <c r="J171" s="18" t="s">
        <v>90</v>
      </c>
      <c r="K171" s="9"/>
    </row>
    <row r="172" customFormat="false" ht="18.75" hidden="false" customHeight="true" outlineLevel="0" collapsed="false">
      <c r="A172" s="20" t="n">
        <v>168</v>
      </c>
      <c r="B172" s="20" t="n">
        <v>168</v>
      </c>
      <c r="C172" s="24" t="s">
        <v>600</v>
      </c>
      <c r="D172" s="21" t="s">
        <v>549</v>
      </c>
      <c r="E172" s="21" t="s">
        <v>226</v>
      </c>
      <c r="F172" s="13" t="s">
        <v>38</v>
      </c>
      <c r="G172" s="22" t="n">
        <v>40000</v>
      </c>
      <c r="H172" s="22" t="n">
        <v>0</v>
      </c>
      <c r="I172" s="22" t="n">
        <v>0</v>
      </c>
      <c r="J172" s="21" t="s">
        <v>147</v>
      </c>
      <c r="K172" s="13"/>
    </row>
    <row r="173" customFormat="false" ht="18.75" hidden="false" customHeight="true" outlineLevel="0" collapsed="false">
      <c r="A173" s="17" t="n">
        <v>169</v>
      </c>
      <c r="B173" s="17" t="n">
        <v>169</v>
      </c>
      <c r="C173" s="23" t="s">
        <v>600</v>
      </c>
      <c r="D173" s="18" t="s">
        <v>549</v>
      </c>
      <c r="E173" s="18" t="s">
        <v>227</v>
      </c>
      <c r="F173" s="9" t="s">
        <v>38</v>
      </c>
      <c r="G173" s="19" t="n">
        <v>35000</v>
      </c>
      <c r="H173" s="19" t="n">
        <v>0</v>
      </c>
      <c r="I173" s="19" t="n">
        <v>0</v>
      </c>
      <c r="J173" s="18" t="s">
        <v>147</v>
      </c>
      <c r="K173" s="9" t="s">
        <v>601</v>
      </c>
    </row>
    <row r="174" customFormat="false" ht="18.75" hidden="false" customHeight="true" outlineLevel="0" collapsed="false">
      <c r="A174" s="20" t="n">
        <v>170</v>
      </c>
      <c r="B174" s="20" t="n">
        <v>170</v>
      </c>
      <c r="C174" s="24" t="s">
        <v>602</v>
      </c>
      <c r="D174" s="21" t="s">
        <v>549</v>
      </c>
      <c r="E174" s="21" t="s">
        <v>231</v>
      </c>
      <c r="F174" s="13" t="s">
        <v>38</v>
      </c>
      <c r="G174" s="22" t="n">
        <v>9760</v>
      </c>
      <c r="H174" s="22" t="n">
        <v>0</v>
      </c>
      <c r="I174" s="22" t="n">
        <v>0</v>
      </c>
      <c r="J174" s="21" t="s">
        <v>147</v>
      </c>
      <c r="K174" s="13" t="s">
        <v>603</v>
      </c>
    </row>
    <row r="175" customFormat="false" ht="18.75" hidden="false" customHeight="true" outlineLevel="0" collapsed="false">
      <c r="A175" s="17" t="n">
        <v>171</v>
      </c>
      <c r="B175" s="17" t="n">
        <v>171</v>
      </c>
      <c r="C175" s="23" t="s">
        <v>277</v>
      </c>
      <c r="D175" s="18" t="s">
        <v>549</v>
      </c>
      <c r="E175" s="18" t="s">
        <v>235</v>
      </c>
      <c r="F175" s="9" t="s">
        <v>38</v>
      </c>
      <c r="G175" s="19" t="n">
        <v>130000</v>
      </c>
      <c r="H175" s="19" t="n">
        <v>0</v>
      </c>
      <c r="I175" s="19" t="n">
        <v>0</v>
      </c>
      <c r="J175" s="18" t="s">
        <v>147</v>
      </c>
      <c r="K175" s="9"/>
    </row>
    <row r="176" customFormat="false" ht="18.75" hidden="false" customHeight="true" outlineLevel="0" collapsed="false">
      <c r="A176" s="20" t="n">
        <v>172</v>
      </c>
      <c r="B176" s="20" t="n">
        <v>172</v>
      </c>
      <c r="C176" s="24" t="s">
        <v>277</v>
      </c>
      <c r="D176" s="21" t="s">
        <v>941</v>
      </c>
      <c r="E176" s="21" t="s">
        <v>276</v>
      </c>
      <c r="F176" s="13" t="s">
        <v>46</v>
      </c>
      <c r="G176" s="22" t="n">
        <v>0</v>
      </c>
      <c r="H176" s="22" t="n">
        <v>0</v>
      </c>
      <c r="I176" s="22" t="n">
        <v>14329.5</v>
      </c>
      <c r="J176" s="21" t="s">
        <v>90</v>
      </c>
      <c r="K176" s="13"/>
    </row>
    <row r="177" customFormat="false" ht="18.75" hidden="false" customHeight="true" outlineLevel="0" collapsed="false">
      <c r="A177" s="17" t="n">
        <v>173</v>
      </c>
      <c r="B177" s="17" t="n">
        <v>173</v>
      </c>
      <c r="C177" s="23" t="s">
        <v>277</v>
      </c>
      <c r="D177" s="18" t="s">
        <v>549</v>
      </c>
      <c r="E177" s="18" t="s">
        <v>234</v>
      </c>
      <c r="F177" s="9" t="s">
        <v>46</v>
      </c>
      <c r="G177" s="19" t="n">
        <v>20000</v>
      </c>
      <c r="H177" s="19" t="n">
        <v>0</v>
      </c>
      <c r="I177" s="19" t="n">
        <v>0</v>
      </c>
      <c r="J177" s="18" t="s">
        <v>90</v>
      </c>
      <c r="K177" s="9"/>
    </row>
    <row r="178" customFormat="false" ht="18.75" hidden="false" customHeight="true" outlineLevel="0" collapsed="false">
      <c r="A178" s="20" t="n">
        <v>174</v>
      </c>
      <c r="B178" s="20" t="n">
        <v>174</v>
      </c>
      <c r="C178" s="24" t="s">
        <v>277</v>
      </c>
      <c r="D178" s="21" t="s">
        <v>941</v>
      </c>
      <c r="E178" s="21" t="s">
        <v>278</v>
      </c>
      <c r="F178" s="13" t="s">
        <v>38</v>
      </c>
      <c r="G178" s="22" t="n">
        <v>0</v>
      </c>
      <c r="H178" s="22" t="n">
        <v>0</v>
      </c>
      <c r="I178" s="22" t="n">
        <v>316064</v>
      </c>
      <c r="J178" s="21" t="s">
        <v>90</v>
      </c>
      <c r="K178" s="13"/>
    </row>
    <row r="179" customFormat="false" ht="18.75" hidden="false" customHeight="true" outlineLevel="0" collapsed="false">
      <c r="A179" s="17" t="n">
        <v>175</v>
      </c>
      <c r="B179" s="17" t="n">
        <v>175</v>
      </c>
      <c r="C179" s="23" t="s">
        <v>604</v>
      </c>
      <c r="D179" s="18" t="s">
        <v>549</v>
      </c>
      <c r="E179" s="18" t="s">
        <v>237</v>
      </c>
      <c r="F179" s="9" t="s">
        <v>38</v>
      </c>
      <c r="G179" s="19" t="n">
        <v>65000</v>
      </c>
      <c r="H179" s="19" t="n">
        <v>0</v>
      </c>
      <c r="I179" s="19" t="n">
        <v>0</v>
      </c>
      <c r="J179" s="18" t="s">
        <v>147</v>
      </c>
      <c r="K179" s="9"/>
    </row>
    <row r="180" customFormat="false" ht="18.75" hidden="false" customHeight="true" outlineLevel="0" collapsed="false">
      <c r="A180" s="20" t="n">
        <v>176</v>
      </c>
      <c r="B180" s="20" t="n">
        <v>176</v>
      </c>
      <c r="C180" s="24" t="s">
        <v>605</v>
      </c>
      <c r="D180" s="21" t="s">
        <v>549</v>
      </c>
      <c r="E180" s="21" t="s">
        <v>239</v>
      </c>
      <c r="F180" s="13" t="s">
        <v>46</v>
      </c>
      <c r="G180" s="22" t="n">
        <v>10000</v>
      </c>
      <c r="H180" s="22" t="n">
        <v>0</v>
      </c>
      <c r="I180" s="22" t="n">
        <v>0</v>
      </c>
      <c r="J180" s="21" t="s">
        <v>147</v>
      </c>
      <c r="K180" s="13"/>
    </row>
    <row r="181" customFormat="false" ht="18.75" hidden="false" customHeight="true" outlineLevel="0" collapsed="false">
      <c r="A181" s="17" t="n">
        <v>177</v>
      </c>
      <c r="B181" s="17" t="n">
        <v>177</v>
      </c>
      <c r="C181" s="23" t="s">
        <v>280</v>
      </c>
      <c r="D181" s="18" t="s">
        <v>941</v>
      </c>
      <c r="E181" s="18" t="s">
        <v>279</v>
      </c>
      <c r="F181" s="9" t="s">
        <v>281</v>
      </c>
      <c r="G181" s="19" t="n">
        <v>0</v>
      </c>
      <c r="H181" s="19" t="n">
        <v>0</v>
      </c>
      <c r="I181" s="19" t="n">
        <v>82010</v>
      </c>
      <c r="J181" s="18" t="s">
        <v>90</v>
      </c>
      <c r="K181" s="9"/>
    </row>
    <row r="182" customFormat="false" ht="18.75" hidden="false" customHeight="true" outlineLevel="0" collapsed="false">
      <c r="A182" s="20" t="n">
        <v>178</v>
      </c>
      <c r="B182" s="20" t="n">
        <v>178</v>
      </c>
      <c r="C182" s="24" t="s">
        <v>606</v>
      </c>
      <c r="D182" s="21" t="s">
        <v>549</v>
      </c>
      <c r="E182" s="21" t="s">
        <v>241</v>
      </c>
      <c r="F182" s="13" t="s">
        <v>42</v>
      </c>
      <c r="G182" s="22" t="n">
        <v>14500</v>
      </c>
      <c r="H182" s="22" t="n">
        <v>0</v>
      </c>
      <c r="I182" s="22" t="n">
        <v>0</v>
      </c>
      <c r="J182" s="21" t="s">
        <v>147</v>
      </c>
      <c r="K182" s="13"/>
    </row>
    <row r="183" customFormat="false" ht="18.75" hidden="false" customHeight="true" outlineLevel="0" collapsed="false">
      <c r="A183" s="17" t="n">
        <v>179</v>
      </c>
      <c r="B183" s="17" t="n">
        <v>182</v>
      </c>
      <c r="C183" s="23" t="s">
        <v>283</v>
      </c>
      <c r="D183" s="18" t="s">
        <v>941</v>
      </c>
      <c r="E183" s="18" t="s">
        <v>282</v>
      </c>
      <c r="F183" s="9" t="s">
        <v>40</v>
      </c>
      <c r="G183" s="19" t="n">
        <v>0</v>
      </c>
      <c r="H183" s="19" t="n">
        <v>0</v>
      </c>
      <c r="I183" s="19" t="n">
        <v>86064.5</v>
      </c>
      <c r="J183" s="18" t="s">
        <v>147</v>
      </c>
      <c r="K183" s="9"/>
    </row>
    <row r="184" customFormat="false" ht="18.75" hidden="false" customHeight="true" outlineLevel="0" collapsed="false">
      <c r="A184" s="20" t="n">
        <v>180</v>
      </c>
      <c r="B184" s="20" t="n">
        <v>179</v>
      </c>
      <c r="C184" s="24" t="s">
        <v>607</v>
      </c>
      <c r="D184" s="21" t="s">
        <v>549</v>
      </c>
      <c r="E184" s="21" t="s">
        <v>243</v>
      </c>
      <c r="F184" s="13" t="s">
        <v>38</v>
      </c>
      <c r="G184" s="22" t="n">
        <v>45000</v>
      </c>
      <c r="H184" s="22" t="n">
        <v>0</v>
      </c>
      <c r="I184" s="22" t="n">
        <v>0</v>
      </c>
      <c r="J184" s="21" t="s">
        <v>147</v>
      </c>
      <c r="K184" s="13" t="s">
        <v>608</v>
      </c>
    </row>
    <row r="185" customFormat="false" ht="18.75" hidden="false" customHeight="true" outlineLevel="0" collapsed="false">
      <c r="A185" s="17" t="n">
        <v>181</v>
      </c>
      <c r="B185" s="17" t="n">
        <v>181</v>
      </c>
      <c r="C185" s="23" t="s">
        <v>609</v>
      </c>
      <c r="D185" s="18" t="s">
        <v>549</v>
      </c>
      <c r="E185" s="18" t="s">
        <v>245</v>
      </c>
      <c r="F185" s="9" t="s">
        <v>46</v>
      </c>
      <c r="G185" s="19" t="n">
        <v>10000</v>
      </c>
      <c r="H185" s="19" t="n">
        <v>0</v>
      </c>
      <c r="I185" s="19" t="n">
        <v>0</v>
      </c>
      <c r="J185" s="18" t="s">
        <v>147</v>
      </c>
      <c r="K185" s="9"/>
    </row>
    <row r="186" customFormat="false" ht="18.75" hidden="false" customHeight="true" outlineLevel="0" collapsed="false">
      <c r="A186" s="20" t="n">
        <v>182</v>
      </c>
      <c r="B186" s="20" t="n">
        <v>183</v>
      </c>
      <c r="C186" s="24" t="s">
        <v>610</v>
      </c>
      <c r="D186" s="21" t="s">
        <v>549</v>
      </c>
      <c r="E186" s="21" t="s">
        <v>229</v>
      </c>
      <c r="F186" s="13" t="s">
        <v>46</v>
      </c>
      <c r="G186" s="22" t="n">
        <v>5000</v>
      </c>
      <c r="H186" s="22" t="n">
        <v>0</v>
      </c>
      <c r="I186" s="22" t="n">
        <v>0</v>
      </c>
      <c r="J186" s="21" t="s">
        <v>147</v>
      </c>
      <c r="K186" s="13"/>
    </row>
    <row r="187" customFormat="false" ht="18.75" hidden="false" customHeight="true" outlineLevel="0" collapsed="false">
      <c r="A187" s="17" t="n">
        <v>183</v>
      </c>
      <c r="B187" s="17" t="n">
        <v>186</v>
      </c>
      <c r="C187" s="23" t="s">
        <v>611</v>
      </c>
      <c r="D187" s="18" t="s">
        <v>549</v>
      </c>
      <c r="E187" s="18" t="s">
        <v>246</v>
      </c>
      <c r="F187" s="9" t="s">
        <v>46</v>
      </c>
      <c r="G187" s="19" t="n">
        <v>10000</v>
      </c>
      <c r="H187" s="19" t="n">
        <v>0</v>
      </c>
      <c r="I187" s="19" t="n">
        <v>0</v>
      </c>
      <c r="J187" s="18" t="s">
        <v>147</v>
      </c>
      <c r="K187" s="9"/>
    </row>
    <row r="188" customFormat="false" ht="18.75" hidden="false" customHeight="true" outlineLevel="0" collapsed="false">
      <c r="A188" s="20" t="n">
        <v>184</v>
      </c>
      <c r="B188" s="20" t="n">
        <v>188</v>
      </c>
      <c r="C188" s="24" t="s">
        <v>612</v>
      </c>
      <c r="D188" s="21" t="s">
        <v>549</v>
      </c>
      <c r="E188" s="21" t="s">
        <v>254</v>
      </c>
      <c r="F188" s="13" t="s">
        <v>38</v>
      </c>
      <c r="G188" s="22" t="n">
        <v>5000</v>
      </c>
      <c r="H188" s="22" t="n">
        <v>0</v>
      </c>
      <c r="I188" s="22" t="n">
        <v>0</v>
      </c>
      <c r="J188" s="21" t="s">
        <v>147</v>
      </c>
      <c r="K188" s="13"/>
    </row>
    <row r="189" customFormat="false" ht="18.75" hidden="false" customHeight="true" outlineLevel="0" collapsed="false">
      <c r="A189" s="17" t="n">
        <v>185</v>
      </c>
      <c r="B189" s="17" t="n">
        <v>189</v>
      </c>
      <c r="C189" s="23" t="s">
        <v>613</v>
      </c>
      <c r="D189" s="18" t="s">
        <v>549</v>
      </c>
      <c r="E189" s="18" t="s">
        <v>256</v>
      </c>
      <c r="F189" s="9" t="s">
        <v>38</v>
      </c>
      <c r="G189" s="19" t="n">
        <v>10000</v>
      </c>
      <c r="H189" s="19" t="n">
        <v>0</v>
      </c>
      <c r="I189" s="19" t="n">
        <v>0</v>
      </c>
      <c r="J189" s="18" t="s">
        <v>147</v>
      </c>
      <c r="K189" s="9"/>
    </row>
    <row r="190" customFormat="false" ht="18.75" hidden="false" customHeight="true" outlineLevel="0" collapsed="false">
      <c r="A190" s="20" t="n">
        <v>186</v>
      </c>
      <c r="B190" s="20" t="n">
        <v>190</v>
      </c>
      <c r="C190" s="24" t="s">
        <v>285</v>
      </c>
      <c r="D190" s="21" t="s">
        <v>549</v>
      </c>
      <c r="E190" s="21" t="s">
        <v>250</v>
      </c>
      <c r="F190" s="13" t="s">
        <v>38</v>
      </c>
      <c r="G190" s="22" t="n">
        <v>13000</v>
      </c>
      <c r="H190" s="22" t="n">
        <v>0</v>
      </c>
      <c r="I190" s="22" t="n">
        <v>0</v>
      </c>
      <c r="J190" s="21" t="s">
        <v>90</v>
      </c>
      <c r="K190" s="13"/>
    </row>
    <row r="191" customFormat="false" ht="18.75" hidden="false" customHeight="true" outlineLevel="0" collapsed="false">
      <c r="A191" s="17" t="n">
        <v>187</v>
      </c>
      <c r="B191" s="17" t="n">
        <v>191</v>
      </c>
      <c r="C191" s="23" t="s">
        <v>285</v>
      </c>
      <c r="D191" s="18" t="s">
        <v>941</v>
      </c>
      <c r="E191" s="18" t="s">
        <v>284</v>
      </c>
      <c r="F191" s="9" t="s">
        <v>38</v>
      </c>
      <c r="G191" s="19" t="n">
        <v>0</v>
      </c>
      <c r="H191" s="19" t="n">
        <v>0</v>
      </c>
      <c r="I191" s="19" t="n">
        <v>64800</v>
      </c>
      <c r="J191" s="18" t="s">
        <v>147</v>
      </c>
      <c r="K191" s="9"/>
    </row>
    <row r="192" customFormat="false" ht="18.75" hidden="false" customHeight="true" outlineLevel="0" collapsed="false">
      <c r="A192" s="20" t="n">
        <v>188</v>
      </c>
      <c r="B192" s="20" t="n">
        <v>194</v>
      </c>
      <c r="C192" s="24" t="s">
        <v>287</v>
      </c>
      <c r="D192" s="21" t="s">
        <v>941</v>
      </c>
      <c r="E192" s="21" t="s">
        <v>286</v>
      </c>
      <c r="F192" s="13" t="s">
        <v>40</v>
      </c>
      <c r="G192" s="22" t="n">
        <v>0</v>
      </c>
      <c r="H192" s="22" t="n">
        <v>0</v>
      </c>
      <c r="I192" s="22" t="n">
        <v>81545.63</v>
      </c>
      <c r="J192" s="21" t="s">
        <v>147</v>
      </c>
      <c r="K192" s="13"/>
    </row>
    <row r="193" customFormat="false" ht="18.75" hidden="false" customHeight="true" outlineLevel="0" collapsed="false">
      <c r="A193" s="17" t="n">
        <v>189</v>
      </c>
      <c r="B193" s="17" t="n">
        <v>192</v>
      </c>
      <c r="C193" s="23" t="s">
        <v>614</v>
      </c>
      <c r="D193" s="18" t="s">
        <v>549</v>
      </c>
      <c r="E193" s="18" t="s">
        <v>258</v>
      </c>
      <c r="F193" s="9" t="s">
        <v>38</v>
      </c>
      <c r="G193" s="19" t="n">
        <v>12000</v>
      </c>
      <c r="H193" s="19" t="n">
        <v>0</v>
      </c>
      <c r="I193" s="19" t="n">
        <v>0</v>
      </c>
      <c r="J193" s="18" t="s">
        <v>90</v>
      </c>
      <c r="K193" s="9"/>
    </row>
    <row r="194" customFormat="false" ht="18.75" hidden="false" customHeight="true" outlineLevel="0" collapsed="false">
      <c r="A194" s="20" t="n">
        <v>190</v>
      </c>
      <c r="B194" s="20" t="n">
        <v>193</v>
      </c>
      <c r="C194" s="24" t="s">
        <v>615</v>
      </c>
      <c r="D194" s="21" t="s">
        <v>549</v>
      </c>
      <c r="E194" s="21" t="s">
        <v>259</v>
      </c>
      <c r="F194" s="13" t="s">
        <v>46</v>
      </c>
      <c r="G194" s="22" t="n">
        <v>10000</v>
      </c>
      <c r="H194" s="22" t="n">
        <v>0</v>
      </c>
      <c r="I194" s="22" t="n">
        <v>0</v>
      </c>
      <c r="J194" s="21" t="s">
        <v>90</v>
      </c>
      <c r="K194" s="13"/>
    </row>
    <row r="195" customFormat="false" ht="18.75" hidden="false" customHeight="true" outlineLevel="0" collapsed="false">
      <c r="A195" s="17" t="n">
        <v>191</v>
      </c>
      <c r="B195" s="17" t="n">
        <v>195</v>
      </c>
      <c r="C195" s="23" t="s">
        <v>289</v>
      </c>
      <c r="D195" s="18" t="s">
        <v>941</v>
      </c>
      <c r="E195" s="18" t="s">
        <v>288</v>
      </c>
      <c r="F195" s="9" t="s">
        <v>56</v>
      </c>
      <c r="G195" s="19" t="n">
        <v>0</v>
      </c>
      <c r="H195" s="19" t="n">
        <v>0</v>
      </c>
      <c r="I195" s="19" t="n">
        <v>21000</v>
      </c>
      <c r="J195" s="18" t="s">
        <v>147</v>
      </c>
      <c r="K195" s="9"/>
    </row>
    <row r="196" customFormat="false" ht="18.75" hidden="false" customHeight="true" outlineLevel="0" collapsed="false">
      <c r="A196" s="20" t="n">
        <v>192</v>
      </c>
      <c r="B196" s="20" t="n">
        <v>196</v>
      </c>
      <c r="C196" s="24" t="s">
        <v>291</v>
      </c>
      <c r="D196" s="21" t="s">
        <v>941</v>
      </c>
      <c r="E196" s="21" t="s">
        <v>290</v>
      </c>
      <c r="F196" s="13" t="s">
        <v>42</v>
      </c>
      <c r="G196" s="22" t="n">
        <v>0</v>
      </c>
      <c r="H196" s="22" t="n">
        <v>0</v>
      </c>
      <c r="I196" s="22" t="n">
        <v>57396</v>
      </c>
      <c r="J196" s="21" t="s">
        <v>147</v>
      </c>
      <c r="K196" s="13"/>
    </row>
    <row r="197" customFormat="false" ht="18.75" hidden="false" customHeight="true" outlineLevel="0" collapsed="false">
      <c r="A197" s="17" t="n">
        <v>193</v>
      </c>
      <c r="B197" s="17" t="n">
        <v>197</v>
      </c>
      <c r="C197" s="23" t="s">
        <v>293</v>
      </c>
      <c r="D197" s="18" t="s">
        <v>549</v>
      </c>
      <c r="E197" s="18" t="s">
        <v>263</v>
      </c>
      <c r="F197" s="9" t="s">
        <v>42</v>
      </c>
      <c r="G197" s="19" t="n">
        <v>25000</v>
      </c>
      <c r="H197" s="19" t="n">
        <v>0</v>
      </c>
      <c r="I197" s="19" t="n">
        <v>0</v>
      </c>
      <c r="J197" s="18" t="s">
        <v>147</v>
      </c>
      <c r="K197" s="9"/>
    </row>
    <row r="198" customFormat="false" ht="18.75" hidden="false" customHeight="true" outlineLevel="0" collapsed="false">
      <c r="A198" s="20" t="n">
        <v>194</v>
      </c>
      <c r="B198" s="20" t="n">
        <v>198</v>
      </c>
      <c r="C198" s="24" t="s">
        <v>293</v>
      </c>
      <c r="D198" s="21" t="s">
        <v>941</v>
      </c>
      <c r="E198" s="21" t="s">
        <v>292</v>
      </c>
      <c r="F198" s="13" t="s">
        <v>46</v>
      </c>
      <c r="G198" s="22" t="n">
        <v>0</v>
      </c>
      <c r="H198" s="22" t="n">
        <v>0</v>
      </c>
      <c r="I198" s="22" t="n">
        <v>80648</v>
      </c>
      <c r="J198" s="21" t="s">
        <v>147</v>
      </c>
      <c r="K198" s="13"/>
    </row>
    <row r="199" customFormat="false" ht="18.75" hidden="false" customHeight="true" outlineLevel="0" collapsed="false">
      <c r="A199" s="17" t="n">
        <v>195</v>
      </c>
      <c r="B199" s="17" t="n">
        <v>199</v>
      </c>
      <c r="C199" s="23" t="s">
        <v>293</v>
      </c>
      <c r="D199" s="18" t="s">
        <v>941</v>
      </c>
      <c r="E199" s="18" t="s">
        <v>294</v>
      </c>
      <c r="F199" s="9" t="s">
        <v>40</v>
      </c>
      <c r="G199" s="19" t="n">
        <v>0</v>
      </c>
      <c r="H199" s="19" t="n">
        <v>0</v>
      </c>
      <c r="I199" s="19" t="n">
        <v>79612.31</v>
      </c>
      <c r="J199" s="18" t="s">
        <v>147</v>
      </c>
      <c r="K199" s="9"/>
    </row>
    <row r="200" customFormat="false" ht="18.75" hidden="false" customHeight="true" outlineLevel="0" collapsed="false">
      <c r="A200" s="20" t="n">
        <v>196</v>
      </c>
      <c r="B200" s="20" t="n">
        <v>200</v>
      </c>
      <c r="C200" s="24" t="s">
        <v>616</v>
      </c>
      <c r="D200" s="21" t="s">
        <v>549</v>
      </c>
      <c r="E200" s="21" t="s">
        <v>265</v>
      </c>
      <c r="F200" s="13" t="s">
        <v>38</v>
      </c>
      <c r="G200" s="22" t="n">
        <v>36000</v>
      </c>
      <c r="H200" s="22" t="n">
        <v>0</v>
      </c>
      <c r="I200" s="22" t="n">
        <v>0</v>
      </c>
      <c r="J200" s="21" t="s">
        <v>147</v>
      </c>
      <c r="K200" s="13"/>
    </row>
    <row r="201" customFormat="false" ht="18.75" hidden="false" customHeight="true" outlineLevel="0" collapsed="false">
      <c r="A201" s="17" t="n">
        <v>197</v>
      </c>
      <c r="B201" s="17" t="n">
        <v>201</v>
      </c>
      <c r="C201" s="23" t="s">
        <v>296</v>
      </c>
      <c r="D201" s="18" t="s">
        <v>941</v>
      </c>
      <c r="E201" s="18" t="s">
        <v>295</v>
      </c>
      <c r="F201" s="9" t="s">
        <v>38</v>
      </c>
      <c r="G201" s="19" t="n">
        <v>0</v>
      </c>
      <c r="H201" s="19" t="n">
        <v>0</v>
      </c>
      <c r="I201" s="19" t="n">
        <v>163518</v>
      </c>
      <c r="J201" s="18" t="s">
        <v>147</v>
      </c>
      <c r="K201" s="9"/>
    </row>
    <row r="202" customFormat="false" ht="18.75" hidden="false" customHeight="true" outlineLevel="0" collapsed="false">
      <c r="A202" s="20" t="n">
        <v>198</v>
      </c>
      <c r="B202" s="20" t="n">
        <v>202</v>
      </c>
      <c r="C202" s="24" t="s">
        <v>296</v>
      </c>
      <c r="D202" s="21" t="s">
        <v>549</v>
      </c>
      <c r="E202" s="21" t="s">
        <v>267</v>
      </c>
      <c r="F202" s="13" t="s">
        <v>42</v>
      </c>
      <c r="G202" s="22" t="n">
        <v>32000</v>
      </c>
      <c r="H202" s="22" t="n">
        <v>0</v>
      </c>
      <c r="I202" s="22" t="n">
        <v>0</v>
      </c>
      <c r="J202" s="21" t="s">
        <v>147</v>
      </c>
      <c r="K202" s="13"/>
    </row>
    <row r="203" customFormat="false" ht="18.75" hidden="false" customHeight="true" outlineLevel="0" collapsed="false">
      <c r="A203" s="17" t="n">
        <v>199</v>
      </c>
      <c r="B203" s="17" t="n">
        <v>203</v>
      </c>
      <c r="C203" s="23" t="s">
        <v>296</v>
      </c>
      <c r="D203" s="18" t="s">
        <v>941</v>
      </c>
      <c r="E203" s="18" t="s">
        <v>297</v>
      </c>
      <c r="F203" s="9" t="s">
        <v>42</v>
      </c>
      <c r="G203" s="19" t="n">
        <v>0</v>
      </c>
      <c r="H203" s="19" t="n">
        <v>0</v>
      </c>
      <c r="I203" s="19" t="n">
        <v>56268</v>
      </c>
      <c r="J203" s="18" t="s">
        <v>147</v>
      </c>
      <c r="K203" s="9"/>
    </row>
    <row r="204" customFormat="false" ht="18.75" hidden="false" customHeight="true" outlineLevel="0" collapsed="false">
      <c r="A204" s="20" t="n">
        <v>200</v>
      </c>
      <c r="B204" s="20" t="n">
        <v>204</v>
      </c>
      <c r="C204" s="24" t="s">
        <v>617</v>
      </c>
      <c r="D204" s="21" t="s">
        <v>549</v>
      </c>
      <c r="E204" s="21" t="s">
        <v>268</v>
      </c>
      <c r="F204" s="13" t="s">
        <v>38</v>
      </c>
      <c r="G204" s="22" t="n">
        <v>43000</v>
      </c>
      <c r="H204" s="22" t="n">
        <v>0</v>
      </c>
      <c r="I204" s="22" t="n">
        <v>0</v>
      </c>
      <c r="J204" s="21" t="s">
        <v>90</v>
      </c>
      <c r="K204" s="13"/>
    </row>
    <row r="205" customFormat="false" ht="18.75" hidden="false" customHeight="true" outlineLevel="0" collapsed="false">
      <c r="A205" s="17" t="n">
        <v>201</v>
      </c>
      <c r="B205" s="17" t="n">
        <v>205</v>
      </c>
      <c r="C205" s="23" t="s">
        <v>617</v>
      </c>
      <c r="D205" s="18" t="s">
        <v>549</v>
      </c>
      <c r="E205" s="18" t="s">
        <v>270</v>
      </c>
      <c r="F205" s="9" t="s">
        <v>46</v>
      </c>
      <c r="G205" s="19" t="n">
        <v>10000</v>
      </c>
      <c r="H205" s="19" t="n">
        <v>0</v>
      </c>
      <c r="I205" s="19" t="n">
        <v>0</v>
      </c>
      <c r="J205" s="18" t="s">
        <v>147</v>
      </c>
      <c r="K205" s="9"/>
    </row>
    <row r="206" customFormat="false" ht="18.75" hidden="false" customHeight="true" outlineLevel="0" collapsed="false">
      <c r="A206" s="20" t="n">
        <v>202</v>
      </c>
      <c r="B206" s="20" t="n">
        <v>208</v>
      </c>
      <c r="C206" s="24" t="s">
        <v>299</v>
      </c>
      <c r="D206" s="21" t="s">
        <v>941</v>
      </c>
      <c r="E206" s="21" t="s">
        <v>298</v>
      </c>
      <c r="F206" s="13" t="s">
        <v>38</v>
      </c>
      <c r="G206" s="22" t="n">
        <v>0</v>
      </c>
      <c r="H206" s="22" t="n">
        <v>0</v>
      </c>
      <c r="I206" s="22" t="n">
        <v>106884</v>
      </c>
      <c r="J206" s="21" t="s">
        <v>147</v>
      </c>
      <c r="K206" s="13"/>
    </row>
    <row r="207" customFormat="false" ht="18.75" hidden="false" customHeight="true" outlineLevel="0" collapsed="false">
      <c r="A207" s="17" t="n">
        <v>203</v>
      </c>
      <c r="B207" s="17" t="n">
        <v>206</v>
      </c>
      <c r="C207" s="23" t="s">
        <v>618</v>
      </c>
      <c r="D207" s="18" t="s">
        <v>549</v>
      </c>
      <c r="E207" s="18" t="s">
        <v>272</v>
      </c>
      <c r="F207" s="9" t="s">
        <v>38</v>
      </c>
      <c r="G207" s="19" t="n">
        <v>70000</v>
      </c>
      <c r="H207" s="19" t="n">
        <v>0</v>
      </c>
      <c r="I207" s="19" t="n">
        <v>0</v>
      </c>
      <c r="J207" s="18" t="s">
        <v>147</v>
      </c>
      <c r="K207" s="9" t="s">
        <v>619</v>
      </c>
    </row>
    <row r="208" customFormat="false" ht="18.75" hidden="false" customHeight="true" outlineLevel="0" collapsed="false">
      <c r="A208" s="20" t="n">
        <v>204</v>
      </c>
      <c r="B208" s="20" t="n">
        <v>207</v>
      </c>
      <c r="C208" s="24" t="s">
        <v>620</v>
      </c>
      <c r="D208" s="21" t="s">
        <v>549</v>
      </c>
      <c r="E208" s="21" t="s">
        <v>273</v>
      </c>
      <c r="F208" s="13" t="s">
        <v>38</v>
      </c>
      <c r="G208" s="22" t="n">
        <v>70000</v>
      </c>
      <c r="H208" s="22" t="n">
        <v>0</v>
      </c>
      <c r="I208" s="22" t="n">
        <v>0</v>
      </c>
      <c r="J208" s="21" t="s">
        <v>90</v>
      </c>
      <c r="K208" s="13"/>
    </row>
    <row r="209" customFormat="false" ht="18.75" hidden="false" customHeight="true" outlineLevel="0" collapsed="false">
      <c r="A209" s="17" t="n">
        <v>205</v>
      </c>
      <c r="B209" s="17" t="n">
        <v>209</v>
      </c>
      <c r="C209" s="23" t="s">
        <v>621</v>
      </c>
      <c r="D209" s="18" t="s">
        <v>549</v>
      </c>
      <c r="E209" s="18" t="s">
        <v>275</v>
      </c>
      <c r="F209" s="9" t="s">
        <v>38</v>
      </c>
      <c r="G209" s="19" t="n">
        <v>35000</v>
      </c>
      <c r="H209" s="19" t="n">
        <v>0</v>
      </c>
      <c r="I209" s="19" t="n">
        <v>0</v>
      </c>
      <c r="J209" s="18" t="s">
        <v>90</v>
      </c>
      <c r="K209" s="9" t="s">
        <v>622</v>
      </c>
    </row>
    <row r="210" customFormat="false" ht="18.75" hidden="false" customHeight="true" outlineLevel="0" collapsed="false">
      <c r="A210" s="20" t="n">
        <v>206</v>
      </c>
      <c r="B210" s="20" t="n">
        <v>210</v>
      </c>
      <c r="C210" s="24" t="s">
        <v>301</v>
      </c>
      <c r="D210" s="21" t="s">
        <v>941</v>
      </c>
      <c r="E210" s="21" t="s">
        <v>300</v>
      </c>
      <c r="F210" s="13" t="s">
        <v>38</v>
      </c>
      <c r="G210" s="22" t="n">
        <v>0</v>
      </c>
      <c r="H210" s="22" t="n">
        <v>0</v>
      </c>
      <c r="I210" s="22" t="n">
        <v>116535</v>
      </c>
      <c r="J210" s="21" t="s">
        <v>147</v>
      </c>
      <c r="K210" s="13"/>
    </row>
    <row r="211" customFormat="false" ht="18.75" hidden="false" customHeight="true" outlineLevel="0" collapsed="false">
      <c r="A211" s="17" t="n">
        <v>207</v>
      </c>
      <c r="B211" s="17" t="n">
        <v>211</v>
      </c>
      <c r="C211" s="23" t="s">
        <v>623</v>
      </c>
      <c r="D211" s="18" t="s">
        <v>549</v>
      </c>
      <c r="E211" s="18" t="s">
        <v>276</v>
      </c>
      <c r="F211" s="9" t="s">
        <v>42</v>
      </c>
      <c r="G211" s="19" t="n">
        <v>30000</v>
      </c>
      <c r="H211" s="19" t="n">
        <v>0</v>
      </c>
      <c r="I211" s="19" t="n">
        <v>0</v>
      </c>
      <c r="J211" s="18" t="s">
        <v>147</v>
      </c>
      <c r="K211" s="9"/>
    </row>
    <row r="212" customFormat="false" ht="18.75" hidden="false" customHeight="true" outlineLevel="0" collapsed="false">
      <c r="A212" s="20" t="n">
        <v>208</v>
      </c>
      <c r="B212" s="20" t="n">
        <v>212</v>
      </c>
      <c r="C212" s="24" t="s">
        <v>623</v>
      </c>
      <c r="D212" s="21" t="s">
        <v>549</v>
      </c>
      <c r="E212" s="21" t="s">
        <v>278</v>
      </c>
      <c r="F212" s="13" t="s">
        <v>46</v>
      </c>
      <c r="G212" s="22" t="n">
        <v>10000</v>
      </c>
      <c r="H212" s="22" t="n">
        <v>0</v>
      </c>
      <c r="I212" s="22" t="n">
        <v>0</v>
      </c>
      <c r="J212" s="21" t="s">
        <v>90</v>
      </c>
      <c r="K212" s="13"/>
    </row>
    <row r="213" customFormat="false" ht="18.75" hidden="false" customHeight="true" outlineLevel="0" collapsed="false">
      <c r="A213" s="17" t="n">
        <v>209</v>
      </c>
      <c r="B213" s="17" t="n">
        <v>213</v>
      </c>
      <c r="C213" s="23" t="s">
        <v>623</v>
      </c>
      <c r="D213" s="18" t="s">
        <v>549</v>
      </c>
      <c r="E213" s="18" t="s">
        <v>279</v>
      </c>
      <c r="F213" s="9" t="s">
        <v>38</v>
      </c>
      <c r="G213" s="19" t="n">
        <v>25000</v>
      </c>
      <c r="H213" s="19" t="n">
        <v>0</v>
      </c>
      <c r="I213" s="19" t="n">
        <v>0</v>
      </c>
      <c r="J213" s="18" t="s">
        <v>147</v>
      </c>
      <c r="K213" s="9" t="s">
        <v>624</v>
      </c>
    </row>
    <row r="214" customFormat="false" ht="18.75" hidden="false" customHeight="true" outlineLevel="0" collapsed="false">
      <c r="A214" s="20" t="n">
        <v>210</v>
      </c>
      <c r="B214" s="20" t="n">
        <v>214</v>
      </c>
      <c r="C214" s="24" t="s">
        <v>303</v>
      </c>
      <c r="D214" s="21" t="s">
        <v>549</v>
      </c>
      <c r="E214" s="21" t="s">
        <v>207</v>
      </c>
      <c r="F214" s="13" t="s">
        <v>38</v>
      </c>
      <c r="G214" s="22" t="n">
        <v>10000</v>
      </c>
      <c r="H214" s="22" t="n">
        <v>0</v>
      </c>
      <c r="I214" s="22" t="n">
        <v>0</v>
      </c>
      <c r="J214" s="21" t="s">
        <v>147</v>
      </c>
      <c r="K214" s="13" t="s">
        <v>625</v>
      </c>
    </row>
    <row r="215" customFormat="false" ht="18.75" hidden="false" customHeight="true" outlineLevel="0" collapsed="false">
      <c r="A215" s="17" t="n">
        <v>211</v>
      </c>
      <c r="B215" s="17" t="n">
        <v>215</v>
      </c>
      <c r="C215" s="23" t="s">
        <v>303</v>
      </c>
      <c r="D215" s="18" t="s">
        <v>941</v>
      </c>
      <c r="E215" s="18" t="s">
        <v>302</v>
      </c>
      <c r="F215" s="9" t="s">
        <v>42</v>
      </c>
      <c r="G215" s="19" t="n">
        <v>0</v>
      </c>
      <c r="H215" s="19" t="n">
        <v>0</v>
      </c>
      <c r="I215" s="19" t="n">
        <v>31800</v>
      </c>
      <c r="J215" s="18" t="s">
        <v>147</v>
      </c>
      <c r="K215" s="9"/>
    </row>
    <row r="216" customFormat="false" ht="18.75" hidden="false" customHeight="true" outlineLevel="0" collapsed="false">
      <c r="A216" s="20" t="n">
        <v>212</v>
      </c>
      <c r="B216" s="20" t="n">
        <v>217</v>
      </c>
      <c r="C216" s="24" t="s">
        <v>305</v>
      </c>
      <c r="D216" s="21" t="s">
        <v>941</v>
      </c>
      <c r="E216" s="21" t="s">
        <v>304</v>
      </c>
      <c r="F216" s="13" t="s">
        <v>40</v>
      </c>
      <c r="G216" s="22" t="n">
        <v>0</v>
      </c>
      <c r="H216" s="22" t="n">
        <v>0</v>
      </c>
      <c r="I216" s="22" t="n">
        <v>92566</v>
      </c>
      <c r="J216" s="21" t="s">
        <v>147</v>
      </c>
      <c r="K216" s="13"/>
    </row>
    <row r="217" customFormat="false" ht="18.75" hidden="false" customHeight="true" outlineLevel="0" collapsed="false">
      <c r="A217" s="17" t="n">
        <v>213</v>
      </c>
      <c r="B217" s="17" t="n">
        <v>216</v>
      </c>
      <c r="C217" s="23" t="s">
        <v>626</v>
      </c>
      <c r="D217" s="18" t="s">
        <v>549</v>
      </c>
      <c r="E217" s="18" t="s">
        <v>282</v>
      </c>
      <c r="F217" s="9" t="s">
        <v>38</v>
      </c>
      <c r="G217" s="19" t="n">
        <v>27000</v>
      </c>
      <c r="H217" s="19" t="n">
        <v>0</v>
      </c>
      <c r="I217" s="19" t="n">
        <v>0</v>
      </c>
      <c r="J217" s="18" t="s">
        <v>90</v>
      </c>
      <c r="K217" s="9" t="s">
        <v>627</v>
      </c>
    </row>
    <row r="218" customFormat="false" ht="18.75" hidden="false" customHeight="true" outlineLevel="0" collapsed="false">
      <c r="A218" s="20" t="n">
        <v>214</v>
      </c>
      <c r="B218" s="20" t="n">
        <v>218</v>
      </c>
      <c r="C218" s="24" t="s">
        <v>628</v>
      </c>
      <c r="D218" s="21" t="s">
        <v>549</v>
      </c>
      <c r="E218" s="21" t="s">
        <v>261</v>
      </c>
      <c r="F218" s="13" t="s">
        <v>38</v>
      </c>
      <c r="G218" s="22" t="n">
        <v>40000</v>
      </c>
      <c r="H218" s="22" t="n">
        <v>0</v>
      </c>
      <c r="I218" s="22" t="n">
        <v>0</v>
      </c>
      <c r="J218" s="21" t="s">
        <v>90</v>
      </c>
      <c r="K218" s="13"/>
    </row>
    <row r="219" customFormat="false" ht="18.75" hidden="false" customHeight="true" outlineLevel="0" collapsed="false">
      <c r="A219" s="17" t="n">
        <v>215</v>
      </c>
      <c r="B219" s="17" t="n">
        <v>219</v>
      </c>
      <c r="C219" s="23" t="s">
        <v>307</v>
      </c>
      <c r="D219" s="18" t="s">
        <v>941</v>
      </c>
      <c r="E219" s="18" t="s">
        <v>306</v>
      </c>
      <c r="F219" s="9" t="s">
        <v>308</v>
      </c>
      <c r="G219" s="19" t="n">
        <v>0</v>
      </c>
      <c r="H219" s="19" t="n">
        <v>0</v>
      </c>
      <c r="I219" s="19" t="n">
        <v>10600</v>
      </c>
      <c r="J219" s="18" t="s">
        <v>147</v>
      </c>
      <c r="K219" s="9"/>
    </row>
    <row r="220" customFormat="false" ht="18.75" hidden="false" customHeight="true" outlineLevel="0" collapsed="false">
      <c r="A220" s="20" t="n">
        <v>216</v>
      </c>
      <c r="B220" s="20" t="n">
        <v>220</v>
      </c>
      <c r="C220" s="24" t="s">
        <v>310</v>
      </c>
      <c r="D220" s="21" t="s">
        <v>549</v>
      </c>
      <c r="E220" s="21" t="s">
        <v>252</v>
      </c>
      <c r="F220" s="13" t="s">
        <v>46</v>
      </c>
      <c r="G220" s="22" t="n">
        <v>20000</v>
      </c>
      <c r="H220" s="22" t="n">
        <v>0</v>
      </c>
      <c r="I220" s="22" t="n">
        <v>0</v>
      </c>
      <c r="J220" s="21" t="s">
        <v>90</v>
      </c>
      <c r="K220" s="13"/>
    </row>
    <row r="221" customFormat="false" ht="18.75" hidden="false" customHeight="true" outlineLevel="0" collapsed="false">
      <c r="A221" s="17" t="n">
        <v>217</v>
      </c>
      <c r="B221" s="17" t="n">
        <v>221</v>
      </c>
      <c r="C221" s="23" t="s">
        <v>310</v>
      </c>
      <c r="D221" s="18" t="s">
        <v>941</v>
      </c>
      <c r="E221" s="18" t="s">
        <v>309</v>
      </c>
      <c r="F221" s="9" t="s">
        <v>40</v>
      </c>
      <c r="G221" s="19" t="n">
        <v>0</v>
      </c>
      <c r="H221" s="19" t="n">
        <v>0</v>
      </c>
      <c r="I221" s="19" t="n">
        <v>11720</v>
      </c>
      <c r="J221" s="18" t="s">
        <v>147</v>
      </c>
      <c r="K221" s="9"/>
    </row>
    <row r="222" customFormat="false" ht="18.75" hidden="false" customHeight="true" outlineLevel="0" collapsed="false">
      <c r="A222" s="20" t="n">
        <v>218</v>
      </c>
      <c r="B222" s="20" t="n">
        <v>222</v>
      </c>
      <c r="C222" s="24" t="s">
        <v>310</v>
      </c>
      <c r="D222" s="21" t="s">
        <v>549</v>
      </c>
      <c r="E222" s="21" t="s">
        <v>284</v>
      </c>
      <c r="F222" s="13" t="s">
        <v>42</v>
      </c>
      <c r="G222" s="22" t="n">
        <v>52000</v>
      </c>
      <c r="H222" s="22" t="n">
        <v>0</v>
      </c>
      <c r="I222" s="22" t="n">
        <v>0</v>
      </c>
      <c r="J222" s="21" t="s">
        <v>147</v>
      </c>
      <c r="K222" s="13"/>
    </row>
    <row r="223" customFormat="false" ht="18.75" hidden="false" customHeight="true" outlineLevel="0" collapsed="false">
      <c r="A223" s="17" t="n">
        <v>219</v>
      </c>
      <c r="B223" s="17" t="n">
        <v>223</v>
      </c>
      <c r="C223" s="23" t="s">
        <v>310</v>
      </c>
      <c r="D223" s="18" t="s">
        <v>941</v>
      </c>
      <c r="E223" s="18" t="s">
        <v>311</v>
      </c>
      <c r="F223" s="9" t="s">
        <v>42</v>
      </c>
      <c r="G223" s="19" t="n">
        <v>0</v>
      </c>
      <c r="H223" s="19" t="n">
        <v>0</v>
      </c>
      <c r="I223" s="19" t="n">
        <v>111112</v>
      </c>
      <c r="J223" s="18" t="s">
        <v>147</v>
      </c>
      <c r="K223" s="9"/>
    </row>
    <row r="224" customFormat="false" ht="18.75" hidden="false" customHeight="true" outlineLevel="0" collapsed="false">
      <c r="A224" s="20" t="n">
        <v>220</v>
      </c>
      <c r="B224" s="20" t="n">
        <v>224</v>
      </c>
      <c r="C224" s="24" t="s">
        <v>313</v>
      </c>
      <c r="D224" s="21" t="s">
        <v>941</v>
      </c>
      <c r="E224" s="21" t="s">
        <v>312</v>
      </c>
      <c r="F224" s="13" t="s">
        <v>38</v>
      </c>
      <c r="G224" s="22" t="n">
        <v>0</v>
      </c>
      <c r="H224" s="22" t="n">
        <v>0</v>
      </c>
      <c r="I224" s="22" t="n">
        <v>217896</v>
      </c>
      <c r="J224" s="21" t="s">
        <v>147</v>
      </c>
      <c r="K224" s="13"/>
    </row>
    <row r="225" customFormat="false" ht="18.75" hidden="false" customHeight="true" outlineLevel="0" collapsed="false">
      <c r="A225" s="17" t="n">
        <v>221</v>
      </c>
      <c r="B225" s="17" t="n">
        <v>225</v>
      </c>
      <c r="C225" s="23" t="s">
        <v>313</v>
      </c>
      <c r="D225" s="18" t="s">
        <v>549</v>
      </c>
      <c r="E225" s="18" t="s">
        <v>286</v>
      </c>
      <c r="F225" s="9" t="s">
        <v>38</v>
      </c>
      <c r="G225" s="19" t="n">
        <v>120000</v>
      </c>
      <c r="H225" s="19" t="n">
        <v>0</v>
      </c>
      <c r="I225" s="19" t="n">
        <v>0</v>
      </c>
      <c r="J225" s="18" t="s">
        <v>147</v>
      </c>
      <c r="K225" s="9" t="s">
        <v>629</v>
      </c>
    </row>
    <row r="226" customFormat="false" ht="18.75" hidden="false" customHeight="true" outlineLevel="0" collapsed="false">
      <c r="A226" s="20" t="n">
        <v>222</v>
      </c>
      <c r="B226" s="20" t="n">
        <v>226</v>
      </c>
      <c r="C226" s="24" t="s">
        <v>630</v>
      </c>
      <c r="D226" s="21" t="s">
        <v>549</v>
      </c>
      <c r="E226" s="21" t="s">
        <v>288</v>
      </c>
      <c r="F226" s="13" t="s">
        <v>38</v>
      </c>
      <c r="G226" s="22" t="n">
        <v>105000</v>
      </c>
      <c r="H226" s="22" t="n">
        <v>0</v>
      </c>
      <c r="I226" s="22" t="n">
        <v>0</v>
      </c>
      <c r="J226" s="21" t="s">
        <v>147</v>
      </c>
      <c r="K226" s="13"/>
    </row>
    <row r="227" customFormat="false" ht="18.75" hidden="false" customHeight="true" outlineLevel="0" collapsed="false">
      <c r="A227" s="17" t="n">
        <v>223</v>
      </c>
      <c r="B227" s="17" t="n">
        <v>227</v>
      </c>
      <c r="C227" s="23" t="s">
        <v>631</v>
      </c>
      <c r="D227" s="18" t="s">
        <v>549</v>
      </c>
      <c r="E227" s="18" t="s">
        <v>290</v>
      </c>
      <c r="F227" s="9" t="s">
        <v>42</v>
      </c>
      <c r="G227" s="19" t="n">
        <v>61000</v>
      </c>
      <c r="H227" s="19" t="n">
        <v>0</v>
      </c>
      <c r="I227" s="19" t="n">
        <v>0</v>
      </c>
      <c r="J227" s="18" t="s">
        <v>147</v>
      </c>
      <c r="K227" s="9"/>
    </row>
    <row r="228" customFormat="false" ht="18.75" hidden="false" customHeight="true" outlineLevel="0" collapsed="false">
      <c r="A228" s="20" t="n">
        <v>224</v>
      </c>
      <c r="B228" s="20" t="n">
        <v>228</v>
      </c>
      <c r="C228" s="24" t="s">
        <v>315</v>
      </c>
      <c r="D228" s="21" t="s">
        <v>941</v>
      </c>
      <c r="E228" s="21" t="s">
        <v>314</v>
      </c>
      <c r="F228" s="13" t="s">
        <v>38</v>
      </c>
      <c r="G228" s="22" t="n">
        <v>0</v>
      </c>
      <c r="H228" s="22" t="n">
        <v>0</v>
      </c>
      <c r="I228" s="22" t="n">
        <v>207216.5</v>
      </c>
      <c r="J228" s="21" t="s">
        <v>147</v>
      </c>
      <c r="K228" s="13"/>
    </row>
    <row r="229" customFormat="false" ht="18.75" hidden="false" customHeight="true" outlineLevel="0" collapsed="false">
      <c r="A229" s="17" t="n">
        <v>225</v>
      </c>
      <c r="B229" s="17" t="n">
        <v>229</v>
      </c>
      <c r="C229" s="23" t="s">
        <v>315</v>
      </c>
      <c r="D229" s="18" t="s">
        <v>549</v>
      </c>
      <c r="E229" s="18" t="s">
        <v>292</v>
      </c>
      <c r="F229" s="9" t="s">
        <v>38</v>
      </c>
      <c r="G229" s="19" t="n">
        <v>15000</v>
      </c>
      <c r="H229" s="19" t="n">
        <v>0</v>
      </c>
      <c r="I229" s="19" t="n">
        <v>0</v>
      </c>
      <c r="J229" s="18" t="s">
        <v>147</v>
      </c>
      <c r="K229" s="9"/>
    </row>
    <row r="230" customFormat="false" ht="18.75" hidden="false" customHeight="true" outlineLevel="0" collapsed="false">
      <c r="A230" s="20" t="n">
        <v>226</v>
      </c>
      <c r="B230" s="20" t="n">
        <v>230</v>
      </c>
      <c r="C230" s="24" t="s">
        <v>632</v>
      </c>
      <c r="D230" s="21" t="s">
        <v>549</v>
      </c>
      <c r="E230" s="21" t="s">
        <v>294</v>
      </c>
      <c r="F230" s="13" t="s">
        <v>38</v>
      </c>
      <c r="G230" s="22" t="n">
        <v>116000</v>
      </c>
      <c r="H230" s="22" t="n">
        <v>0</v>
      </c>
      <c r="I230" s="22" t="n">
        <v>0</v>
      </c>
      <c r="J230" s="21" t="s">
        <v>90</v>
      </c>
      <c r="K230" s="13"/>
    </row>
    <row r="231" customFormat="false" ht="18.75" hidden="false" customHeight="true" outlineLevel="0" collapsed="false">
      <c r="A231" s="17" t="n">
        <v>227</v>
      </c>
      <c r="B231" s="17" t="n">
        <v>231</v>
      </c>
      <c r="C231" s="23" t="s">
        <v>317</v>
      </c>
      <c r="D231" s="18" t="s">
        <v>549</v>
      </c>
      <c r="E231" s="18" t="s">
        <v>295</v>
      </c>
      <c r="F231" s="9" t="s">
        <v>38</v>
      </c>
      <c r="G231" s="19" t="n">
        <v>112000</v>
      </c>
      <c r="H231" s="19" t="n">
        <v>0</v>
      </c>
      <c r="I231" s="19" t="n">
        <v>0</v>
      </c>
      <c r="J231" s="18" t="s">
        <v>90</v>
      </c>
      <c r="K231" s="9"/>
    </row>
    <row r="232" customFormat="false" ht="18.75" hidden="false" customHeight="true" outlineLevel="0" collapsed="false">
      <c r="A232" s="20" t="n">
        <v>228</v>
      </c>
      <c r="B232" s="20" t="n">
        <v>232</v>
      </c>
      <c r="C232" s="24" t="s">
        <v>317</v>
      </c>
      <c r="D232" s="21" t="s">
        <v>941</v>
      </c>
      <c r="E232" s="21" t="s">
        <v>316</v>
      </c>
      <c r="F232" s="13" t="s">
        <v>38</v>
      </c>
      <c r="G232" s="22" t="n">
        <v>0</v>
      </c>
      <c r="H232" s="22" t="n">
        <v>0</v>
      </c>
      <c r="I232" s="22" t="n">
        <v>183335</v>
      </c>
      <c r="J232" s="21" t="s">
        <v>147</v>
      </c>
      <c r="K232" s="13"/>
    </row>
    <row r="233" customFormat="false" ht="18.75" hidden="false" customHeight="true" outlineLevel="0" collapsed="false">
      <c r="A233" s="17" t="n">
        <v>229</v>
      </c>
      <c r="B233" s="17" t="n">
        <v>233</v>
      </c>
      <c r="C233" s="23" t="s">
        <v>317</v>
      </c>
      <c r="D233" s="18" t="s">
        <v>549</v>
      </c>
      <c r="E233" s="18" t="s">
        <v>297</v>
      </c>
      <c r="F233" s="9" t="s">
        <v>42</v>
      </c>
      <c r="G233" s="19" t="n">
        <v>26600</v>
      </c>
      <c r="H233" s="19" t="n">
        <v>0</v>
      </c>
      <c r="I233" s="19" t="n">
        <v>0</v>
      </c>
      <c r="J233" s="18" t="s">
        <v>90</v>
      </c>
      <c r="K233" s="9"/>
    </row>
    <row r="234" customFormat="false" ht="18.75" hidden="false" customHeight="true" outlineLevel="0" collapsed="false">
      <c r="A234" s="20" t="n">
        <v>230</v>
      </c>
      <c r="B234" s="20" t="n">
        <v>234</v>
      </c>
      <c r="C234" s="24" t="s">
        <v>317</v>
      </c>
      <c r="D234" s="21" t="s">
        <v>941</v>
      </c>
      <c r="E234" s="21" t="s">
        <v>318</v>
      </c>
      <c r="F234" s="13" t="s">
        <v>38</v>
      </c>
      <c r="G234" s="22" t="n">
        <v>0</v>
      </c>
      <c r="H234" s="22" t="n">
        <v>0</v>
      </c>
      <c r="I234" s="22" t="n">
        <v>52000</v>
      </c>
      <c r="J234" s="21" t="s">
        <v>147</v>
      </c>
      <c r="K234" s="13"/>
    </row>
    <row r="235" customFormat="false" ht="18.75" hidden="false" customHeight="true" outlineLevel="0" collapsed="false">
      <c r="A235" s="17" t="n">
        <v>231</v>
      </c>
      <c r="B235" s="17" t="n">
        <v>235</v>
      </c>
      <c r="C235" s="23" t="s">
        <v>633</v>
      </c>
      <c r="D235" s="18" t="s">
        <v>549</v>
      </c>
      <c r="E235" s="18" t="s">
        <v>298</v>
      </c>
      <c r="F235" s="9" t="s">
        <v>46</v>
      </c>
      <c r="G235" s="19" t="n">
        <v>10000</v>
      </c>
      <c r="H235" s="19" t="n">
        <v>0</v>
      </c>
      <c r="I235" s="19" t="n">
        <v>0</v>
      </c>
      <c r="J235" s="18" t="s">
        <v>147</v>
      </c>
      <c r="K235" s="9"/>
    </row>
    <row r="236" customFormat="false" ht="18.75" hidden="false" customHeight="true" outlineLevel="0" collapsed="false">
      <c r="A236" s="20" t="n">
        <v>232</v>
      </c>
      <c r="B236" s="20" t="n">
        <v>236</v>
      </c>
      <c r="C236" s="24" t="s">
        <v>634</v>
      </c>
      <c r="D236" s="21" t="s">
        <v>549</v>
      </c>
      <c r="E236" s="21" t="s">
        <v>300</v>
      </c>
      <c r="F236" s="13" t="s">
        <v>38</v>
      </c>
      <c r="G236" s="22" t="n">
        <v>64500</v>
      </c>
      <c r="H236" s="22" t="n">
        <v>0</v>
      </c>
      <c r="I236" s="22" t="n">
        <v>0</v>
      </c>
      <c r="J236" s="21" t="s">
        <v>90</v>
      </c>
      <c r="K236" s="13"/>
    </row>
    <row r="237" customFormat="false" ht="18.75" hidden="false" customHeight="true" outlineLevel="0" collapsed="false">
      <c r="A237" s="17" t="n">
        <v>233</v>
      </c>
      <c r="B237" s="17" t="n">
        <v>237</v>
      </c>
      <c r="C237" s="23" t="s">
        <v>635</v>
      </c>
      <c r="D237" s="18" t="s">
        <v>549</v>
      </c>
      <c r="E237" s="18" t="s">
        <v>302</v>
      </c>
      <c r="F237" s="9" t="s">
        <v>38</v>
      </c>
      <c r="G237" s="19" t="n">
        <v>75000</v>
      </c>
      <c r="H237" s="19" t="n">
        <v>0</v>
      </c>
      <c r="I237" s="19" t="n">
        <v>0</v>
      </c>
      <c r="J237" s="18" t="s">
        <v>147</v>
      </c>
      <c r="K237" s="9" t="s">
        <v>636</v>
      </c>
    </row>
    <row r="238" customFormat="false" ht="18.75" hidden="false" customHeight="true" outlineLevel="0" collapsed="false">
      <c r="A238" s="20" t="n">
        <v>234</v>
      </c>
      <c r="B238" s="20" t="n">
        <v>238</v>
      </c>
      <c r="C238" s="24" t="s">
        <v>635</v>
      </c>
      <c r="D238" s="21" t="s">
        <v>549</v>
      </c>
      <c r="E238" s="21" t="s">
        <v>304</v>
      </c>
      <c r="F238" s="13" t="s">
        <v>46</v>
      </c>
      <c r="G238" s="22" t="n">
        <v>10000</v>
      </c>
      <c r="H238" s="22" t="n">
        <v>0</v>
      </c>
      <c r="I238" s="22" t="n">
        <v>0</v>
      </c>
      <c r="J238" s="21" t="s">
        <v>147</v>
      </c>
      <c r="K238" s="13"/>
    </row>
    <row r="239" customFormat="false" ht="18.75" hidden="false" customHeight="true" outlineLevel="0" collapsed="false">
      <c r="A239" s="17" t="n">
        <v>235</v>
      </c>
      <c r="B239" s="17" t="n">
        <v>239</v>
      </c>
      <c r="C239" s="23" t="s">
        <v>320</v>
      </c>
      <c r="D239" s="18" t="s">
        <v>941</v>
      </c>
      <c r="E239" s="18" t="s">
        <v>319</v>
      </c>
      <c r="F239" s="9" t="s">
        <v>42</v>
      </c>
      <c r="G239" s="19" t="n">
        <v>0</v>
      </c>
      <c r="H239" s="19" t="n">
        <v>0</v>
      </c>
      <c r="I239" s="19" t="n">
        <v>60500</v>
      </c>
      <c r="J239" s="18" t="s">
        <v>147</v>
      </c>
      <c r="K239" s="9"/>
    </row>
    <row r="240" customFormat="false" ht="18.75" hidden="false" customHeight="true" outlineLevel="0" collapsed="false">
      <c r="A240" s="20" t="n">
        <v>236</v>
      </c>
      <c r="B240" s="20" t="n">
        <v>240</v>
      </c>
      <c r="C240" s="24" t="s">
        <v>320</v>
      </c>
      <c r="D240" s="21" t="s">
        <v>941</v>
      </c>
      <c r="E240" s="21" t="s">
        <v>321</v>
      </c>
      <c r="F240" s="13" t="s">
        <v>38</v>
      </c>
      <c r="G240" s="22" t="n">
        <v>0</v>
      </c>
      <c r="H240" s="22" t="n">
        <v>0</v>
      </c>
      <c r="I240" s="22" t="n">
        <v>97359.38</v>
      </c>
      <c r="J240" s="21" t="s">
        <v>147</v>
      </c>
      <c r="K240" s="13"/>
    </row>
    <row r="241" customFormat="false" ht="18.75" hidden="false" customHeight="true" outlineLevel="0" collapsed="false">
      <c r="A241" s="17" t="n">
        <v>237</v>
      </c>
      <c r="B241" s="17" t="n">
        <v>241</v>
      </c>
      <c r="C241" s="23" t="s">
        <v>320</v>
      </c>
      <c r="D241" s="18" t="s">
        <v>549</v>
      </c>
      <c r="E241" s="18" t="s">
        <v>306</v>
      </c>
      <c r="F241" s="9" t="s">
        <v>38</v>
      </c>
      <c r="G241" s="19" t="n">
        <v>24999</v>
      </c>
      <c r="H241" s="19" t="n">
        <v>0</v>
      </c>
      <c r="I241" s="19" t="n">
        <v>0</v>
      </c>
      <c r="J241" s="18" t="s">
        <v>147</v>
      </c>
      <c r="K241" s="9" t="s">
        <v>637</v>
      </c>
    </row>
    <row r="242" customFormat="false" ht="18.75" hidden="false" customHeight="true" outlineLevel="0" collapsed="false">
      <c r="A242" s="20" t="n">
        <v>238</v>
      </c>
      <c r="B242" s="20" t="n">
        <v>242</v>
      </c>
      <c r="C242" s="24" t="s">
        <v>323</v>
      </c>
      <c r="D242" s="21" t="s">
        <v>941</v>
      </c>
      <c r="E242" s="21" t="s">
        <v>322</v>
      </c>
      <c r="F242" s="13" t="s">
        <v>38</v>
      </c>
      <c r="G242" s="22" t="n">
        <v>0</v>
      </c>
      <c r="H242" s="22" t="n">
        <v>0</v>
      </c>
      <c r="I242" s="22" t="n">
        <v>501311</v>
      </c>
      <c r="J242" s="21" t="s">
        <v>147</v>
      </c>
      <c r="K242" s="13"/>
    </row>
    <row r="243" customFormat="false" ht="18.75" hidden="false" customHeight="true" outlineLevel="0" collapsed="false">
      <c r="A243" s="17" t="n">
        <v>239</v>
      </c>
      <c r="B243" s="17" t="n">
        <v>246</v>
      </c>
      <c r="C243" s="23" t="s">
        <v>323</v>
      </c>
      <c r="D243" s="18" t="s">
        <v>549</v>
      </c>
      <c r="E243" s="18" t="s">
        <v>314</v>
      </c>
      <c r="F243" s="9" t="s">
        <v>38</v>
      </c>
      <c r="G243" s="19" t="n">
        <v>16000</v>
      </c>
      <c r="H243" s="19" t="n">
        <v>0</v>
      </c>
      <c r="I243" s="19" t="n">
        <v>0</v>
      </c>
      <c r="J243" s="18" t="s">
        <v>147</v>
      </c>
      <c r="K243" s="9" t="s">
        <v>638</v>
      </c>
    </row>
    <row r="244" customFormat="false" ht="18.75" hidden="false" customHeight="true" outlineLevel="0" collapsed="false">
      <c r="A244" s="20" t="n">
        <v>240</v>
      </c>
      <c r="B244" s="20" t="n">
        <v>243</v>
      </c>
      <c r="C244" s="24" t="s">
        <v>639</v>
      </c>
      <c r="D244" s="21" t="s">
        <v>549</v>
      </c>
      <c r="E244" s="21" t="s">
        <v>309</v>
      </c>
      <c r="F244" s="13" t="s">
        <v>38</v>
      </c>
      <c r="G244" s="22" t="n">
        <v>75000</v>
      </c>
      <c r="H244" s="22" t="n">
        <v>0</v>
      </c>
      <c r="I244" s="22" t="n">
        <v>0</v>
      </c>
      <c r="J244" s="21" t="s">
        <v>90</v>
      </c>
      <c r="K244" s="13"/>
    </row>
    <row r="245" customFormat="false" ht="18.75" hidden="false" customHeight="true" outlineLevel="0" collapsed="false">
      <c r="A245" s="17" t="n">
        <v>241</v>
      </c>
      <c r="B245" s="17" t="n">
        <v>244</v>
      </c>
      <c r="C245" s="23" t="s">
        <v>640</v>
      </c>
      <c r="D245" s="18" t="s">
        <v>549</v>
      </c>
      <c r="E245" s="18" t="s">
        <v>311</v>
      </c>
      <c r="F245" s="9" t="s">
        <v>42</v>
      </c>
      <c r="G245" s="19" t="n">
        <v>31000</v>
      </c>
      <c r="H245" s="19" t="n">
        <v>0</v>
      </c>
      <c r="I245" s="19" t="n">
        <v>0</v>
      </c>
      <c r="J245" s="18" t="s">
        <v>147</v>
      </c>
      <c r="K245" s="9"/>
    </row>
    <row r="246" customFormat="false" ht="18.75" hidden="false" customHeight="true" outlineLevel="0" collapsed="false">
      <c r="A246" s="20" t="n">
        <v>242</v>
      </c>
      <c r="B246" s="20" t="n">
        <v>247</v>
      </c>
      <c r="C246" s="24" t="s">
        <v>325</v>
      </c>
      <c r="D246" s="21" t="s">
        <v>941</v>
      </c>
      <c r="E246" s="21" t="s">
        <v>324</v>
      </c>
      <c r="F246" s="13" t="s">
        <v>46</v>
      </c>
      <c r="G246" s="22" t="n">
        <v>0</v>
      </c>
      <c r="H246" s="22" t="n">
        <v>0</v>
      </c>
      <c r="I246" s="22" t="n">
        <v>58144</v>
      </c>
      <c r="J246" s="21" t="s">
        <v>147</v>
      </c>
      <c r="K246" s="13"/>
    </row>
    <row r="247" customFormat="false" ht="18.75" hidden="false" customHeight="true" outlineLevel="0" collapsed="false">
      <c r="A247" s="17" t="n">
        <v>243</v>
      </c>
      <c r="B247" s="17" t="n">
        <v>245</v>
      </c>
      <c r="C247" s="23" t="s">
        <v>641</v>
      </c>
      <c r="D247" s="18" t="s">
        <v>549</v>
      </c>
      <c r="E247" s="18" t="s">
        <v>312</v>
      </c>
      <c r="F247" s="9" t="s">
        <v>38</v>
      </c>
      <c r="G247" s="19" t="n">
        <v>12000</v>
      </c>
      <c r="H247" s="19" t="n">
        <v>0</v>
      </c>
      <c r="I247" s="19" t="n">
        <v>0</v>
      </c>
      <c r="J247" s="18" t="s">
        <v>147</v>
      </c>
      <c r="K247" s="9"/>
    </row>
    <row r="248" customFormat="false" ht="18.75" hidden="false" customHeight="true" outlineLevel="0" collapsed="false">
      <c r="A248" s="20" t="n">
        <v>244</v>
      </c>
      <c r="B248" s="20" t="n">
        <v>248</v>
      </c>
      <c r="C248" s="24" t="s">
        <v>327</v>
      </c>
      <c r="D248" s="21" t="s">
        <v>549</v>
      </c>
      <c r="E248" s="21" t="s">
        <v>316</v>
      </c>
      <c r="F248" s="13" t="s">
        <v>42</v>
      </c>
      <c r="G248" s="22" t="n">
        <v>59500</v>
      </c>
      <c r="H248" s="22" t="n">
        <v>0</v>
      </c>
      <c r="I248" s="22" t="n">
        <v>0</v>
      </c>
      <c r="J248" s="21" t="s">
        <v>147</v>
      </c>
      <c r="K248" s="13"/>
    </row>
    <row r="249" customFormat="false" ht="18.75" hidden="false" customHeight="true" outlineLevel="0" collapsed="false">
      <c r="A249" s="17" t="n">
        <v>245</v>
      </c>
      <c r="B249" s="17" t="n">
        <v>249</v>
      </c>
      <c r="C249" s="23" t="s">
        <v>327</v>
      </c>
      <c r="D249" s="18" t="s">
        <v>941</v>
      </c>
      <c r="E249" s="18" t="s">
        <v>326</v>
      </c>
      <c r="F249" s="9" t="s">
        <v>42</v>
      </c>
      <c r="G249" s="19" t="n">
        <v>0</v>
      </c>
      <c r="H249" s="19" t="n">
        <v>0</v>
      </c>
      <c r="I249" s="19" t="n">
        <v>42197</v>
      </c>
      <c r="J249" s="18" t="s">
        <v>147</v>
      </c>
      <c r="K249" s="9"/>
    </row>
    <row r="250" customFormat="false" ht="18.75" hidden="false" customHeight="true" outlineLevel="0" collapsed="false">
      <c r="A250" s="20" t="n">
        <v>246</v>
      </c>
      <c r="B250" s="20" t="n">
        <v>250</v>
      </c>
      <c r="C250" s="24" t="s">
        <v>642</v>
      </c>
      <c r="D250" s="21" t="s">
        <v>549</v>
      </c>
      <c r="E250" s="21" t="s">
        <v>318</v>
      </c>
      <c r="F250" s="13" t="s">
        <v>46</v>
      </c>
      <c r="G250" s="22" t="n">
        <v>10000</v>
      </c>
      <c r="H250" s="22" t="n">
        <v>0</v>
      </c>
      <c r="I250" s="22" t="n">
        <v>0</v>
      </c>
      <c r="J250" s="21" t="s">
        <v>147</v>
      </c>
      <c r="K250" s="13"/>
    </row>
    <row r="251" customFormat="false" ht="18.75" hidden="false" customHeight="true" outlineLevel="0" collapsed="false">
      <c r="A251" s="17" t="n">
        <v>247</v>
      </c>
      <c r="B251" s="17" t="n">
        <v>252</v>
      </c>
      <c r="C251" s="23" t="s">
        <v>643</v>
      </c>
      <c r="D251" s="18" t="s">
        <v>549</v>
      </c>
      <c r="E251" s="18" t="s">
        <v>319</v>
      </c>
      <c r="F251" s="9" t="s">
        <v>38</v>
      </c>
      <c r="G251" s="19" t="n">
        <v>200000</v>
      </c>
      <c r="H251" s="19" t="n">
        <v>0</v>
      </c>
      <c r="I251" s="19" t="n">
        <v>0</v>
      </c>
      <c r="J251" s="18" t="s">
        <v>147</v>
      </c>
      <c r="K251" s="9" t="s">
        <v>644</v>
      </c>
    </row>
    <row r="252" customFormat="false" ht="18.75" hidden="false" customHeight="true" outlineLevel="0" collapsed="false">
      <c r="A252" s="20" t="n">
        <v>248</v>
      </c>
      <c r="B252" s="20" t="n">
        <v>251</v>
      </c>
      <c r="C252" s="24" t="s">
        <v>329</v>
      </c>
      <c r="D252" s="21" t="s">
        <v>941</v>
      </c>
      <c r="E252" s="21" t="s">
        <v>328</v>
      </c>
      <c r="F252" s="13" t="s">
        <v>38</v>
      </c>
      <c r="G252" s="22" t="n">
        <v>0</v>
      </c>
      <c r="H252" s="22" t="n">
        <v>0</v>
      </c>
      <c r="I252" s="22" t="n">
        <v>113788</v>
      </c>
      <c r="J252" s="21" t="s">
        <v>147</v>
      </c>
      <c r="K252" s="13"/>
    </row>
    <row r="253" customFormat="false" ht="18.75" hidden="false" customHeight="true" outlineLevel="0" collapsed="false">
      <c r="A253" s="17" t="n">
        <v>249</v>
      </c>
      <c r="B253" s="17" t="n">
        <v>253</v>
      </c>
      <c r="C253" s="23" t="s">
        <v>645</v>
      </c>
      <c r="D253" s="18" t="s">
        <v>549</v>
      </c>
      <c r="E253" s="18" t="s">
        <v>321</v>
      </c>
      <c r="F253" s="9" t="s">
        <v>38</v>
      </c>
      <c r="G253" s="19" t="n">
        <v>200000</v>
      </c>
      <c r="H253" s="19" t="n">
        <v>0</v>
      </c>
      <c r="I253" s="19" t="n">
        <v>0</v>
      </c>
      <c r="J253" s="18" t="s">
        <v>147</v>
      </c>
      <c r="K253" s="9"/>
    </row>
    <row r="254" customFormat="false" ht="18.75" hidden="false" customHeight="true" outlineLevel="0" collapsed="false">
      <c r="A254" s="20" t="n">
        <v>250</v>
      </c>
      <c r="B254" s="20" t="n">
        <v>254</v>
      </c>
      <c r="C254" s="24" t="s">
        <v>646</v>
      </c>
      <c r="D254" s="21" t="s">
        <v>549</v>
      </c>
      <c r="E254" s="21" t="s">
        <v>322</v>
      </c>
      <c r="F254" s="13" t="s">
        <v>38</v>
      </c>
      <c r="G254" s="22" t="n">
        <v>99000</v>
      </c>
      <c r="H254" s="22" t="n">
        <v>0</v>
      </c>
      <c r="I254" s="22" t="n">
        <v>0</v>
      </c>
      <c r="J254" s="21" t="s">
        <v>147</v>
      </c>
      <c r="K254" s="13" t="s">
        <v>647</v>
      </c>
    </row>
    <row r="255" customFormat="false" ht="18.75" hidden="false" customHeight="true" outlineLevel="0" collapsed="false">
      <c r="A255" s="17" t="n">
        <v>251</v>
      </c>
      <c r="B255" s="17" t="n">
        <v>255</v>
      </c>
      <c r="C255" s="23" t="s">
        <v>648</v>
      </c>
      <c r="D255" s="18" t="s">
        <v>549</v>
      </c>
      <c r="E255" s="18" t="s">
        <v>324</v>
      </c>
      <c r="F255" s="9" t="s">
        <v>38</v>
      </c>
      <c r="G255" s="19" t="n">
        <v>12000</v>
      </c>
      <c r="H255" s="19" t="n">
        <v>0</v>
      </c>
      <c r="I255" s="19" t="n">
        <v>0</v>
      </c>
      <c r="J255" s="18" t="s">
        <v>147</v>
      </c>
      <c r="K255" s="9" t="s">
        <v>649</v>
      </c>
    </row>
    <row r="256" customFormat="false" ht="18.75" hidden="false" customHeight="true" outlineLevel="0" collapsed="false">
      <c r="A256" s="20" t="n">
        <v>252</v>
      </c>
      <c r="B256" s="20" t="n">
        <v>261</v>
      </c>
      <c r="C256" s="24" t="s">
        <v>331</v>
      </c>
      <c r="D256" s="21" t="s">
        <v>941</v>
      </c>
      <c r="E256" s="21" t="s">
        <v>330</v>
      </c>
      <c r="F256" s="13" t="s">
        <v>38</v>
      </c>
      <c r="G256" s="22" t="n">
        <v>0</v>
      </c>
      <c r="H256" s="22" t="n">
        <v>0</v>
      </c>
      <c r="I256" s="22" t="n">
        <v>189672</v>
      </c>
      <c r="J256" s="21" t="s">
        <v>147</v>
      </c>
      <c r="K256" s="13"/>
    </row>
    <row r="257" customFormat="false" ht="18.75" hidden="false" customHeight="true" outlineLevel="0" collapsed="false">
      <c r="A257" s="17" t="n">
        <v>253</v>
      </c>
      <c r="B257" s="17" t="n">
        <v>257</v>
      </c>
      <c r="C257" s="23" t="s">
        <v>650</v>
      </c>
      <c r="D257" s="18" t="s">
        <v>549</v>
      </c>
      <c r="E257" s="18" t="s">
        <v>326</v>
      </c>
      <c r="F257" s="9" t="s">
        <v>38</v>
      </c>
      <c r="G257" s="19" t="n">
        <v>50000</v>
      </c>
      <c r="H257" s="19" t="n">
        <v>0</v>
      </c>
      <c r="I257" s="19" t="n">
        <v>0</v>
      </c>
      <c r="J257" s="18" t="s">
        <v>560</v>
      </c>
      <c r="K257" s="9"/>
    </row>
    <row r="258" customFormat="false" ht="18.75" hidden="false" customHeight="true" outlineLevel="0" collapsed="false">
      <c r="A258" s="20" t="n">
        <v>254</v>
      </c>
      <c r="B258" s="20" t="n">
        <v>256</v>
      </c>
      <c r="C258" s="24" t="s">
        <v>333</v>
      </c>
      <c r="D258" s="21" t="s">
        <v>941</v>
      </c>
      <c r="E258" s="21" t="s">
        <v>332</v>
      </c>
      <c r="F258" s="13" t="s">
        <v>42</v>
      </c>
      <c r="G258" s="22" t="n">
        <v>0</v>
      </c>
      <c r="H258" s="22" t="n">
        <v>0</v>
      </c>
      <c r="I258" s="22" t="n">
        <v>50000</v>
      </c>
      <c r="J258" s="21" t="s">
        <v>147</v>
      </c>
      <c r="K258" s="13"/>
    </row>
    <row r="259" customFormat="false" ht="18.75" hidden="false" customHeight="true" outlineLevel="0" collapsed="false">
      <c r="A259" s="17" t="n">
        <v>255</v>
      </c>
      <c r="B259" s="17" t="n">
        <v>259</v>
      </c>
      <c r="C259" s="23" t="s">
        <v>335</v>
      </c>
      <c r="D259" s="18" t="s">
        <v>941</v>
      </c>
      <c r="E259" s="18" t="s">
        <v>334</v>
      </c>
      <c r="F259" s="9" t="s">
        <v>38</v>
      </c>
      <c r="G259" s="19" t="n">
        <v>0</v>
      </c>
      <c r="H259" s="19" t="n">
        <v>0</v>
      </c>
      <c r="I259" s="19" t="n">
        <v>87368</v>
      </c>
      <c r="J259" s="18" t="s">
        <v>147</v>
      </c>
      <c r="K259" s="9"/>
    </row>
    <row r="260" customFormat="false" ht="18.75" hidden="false" customHeight="true" outlineLevel="0" collapsed="false">
      <c r="A260" s="20" t="n">
        <v>256</v>
      </c>
      <c r="B260" s="20" t="n">
        <v>258</v>
      </c>
      <c r="C260" s="24" t="s">
        <v>337</v>
      </c>
      <c r="D260" s="21" t="s">
        <v>941</v>
      </c>
      <c r="E260" s="21" t="s">
        <v>336</v>
      </c>
      <c r="F260" s="13" t="s">
        <v>40</v>
      </c>
      <c r="G260" s="22" t="n">
        <v>0</v>
      </c>
      <c r="H260" s="22" t="n">
        <v>0</v>
      </c>
      <c r="I260" s="22" t="n">
        <v>90716.25</v>
      </c>
      <c r="J260" s="21" t="s">
        <v>147</v>
      </c>
      <c r="K260" s="13"/>
    </row>
    <row r="261" customFormat="false" ht="18.75" hidden="false" customHeight="true" outlineLevel="0" collapsed="false">
      <c r="A261" s="17" t="n">
        <v>257</v>
      </c>
      <c r="B261" s="17" t="n">
        <v>260</v>
      </c>
      <c r="C261" s="23" t="s">
        <v>337</v>
      </c>
      <c r="D261" s="18" t="s">
        <v>549</v>
      </c>
      <c r="E261" s="18" t="s">
        <v>328</v>
      </c>
      <c r="F261" s="9" t="s">
        <v>46</v>
      </c>
      <c r="G261" s="19" t="n">
        <v>20000</v>
      </c>
      <c r="H261" s="19" t="n">
        <v>0</v>
      </c>
      <c r="I261" s="19" t="n">
        <v>0</v>
      </c>
      <c r="J261" s="18" t="s">
        <v>147</v>
      </c>
      <c r="K261" s="9"/>
    </row>
    <row r="262" customFormat="false" ht="18.75" hidden="false" customHeight="true" outlineLevel="0" collapsed="false">
      <c r="A262" s="20" t="n">
        <v>258</v>
      </c>
      <c r="B262" s="20" t="n">
        <v>262</v>
      </c>
      <c r="C262" s="24" t="s">
        <v>651</v>
      </c>
      <c r="D262" s="21" t="s">
        <v>549</v>
      </c>
      <c r="E262" s="21" t="s">
        <v>332</v>
      </c>
      <c r="F262" s="13" t="s">
        <v>42</v>
      </c>
      <c r="G262" s="22" t="n">
        <v>30000</v>
      </c>
      <c r="H262" s="22" t="n">
        <v>0</v>
      </c>
      <c r="I262" s="22" t="n">
        <v>0</v>
      </c>
      <c r="J262" s="21" t="s">
        <v>147</v>
      </c>
      <c r="K262" s="13"/>
    </row>
    <row r="263" customFormat="false" ht="18.75" hidden="false" customHeight="true" outlineLevel="0" collapsed="false">
      <c r="A263" s="17" t="n">
        <v>259</v>
      </c>
      <c r="B263" s="17" t="n">
        <v>263</v>
      </c>
      <c r="C263" s="23" t="s">
        <v>652</v>
      </c>
      <c r="D263" s="18" t="s">
        <v>549</v>
      </c>
      <c r="E263" s="18" t="s">
        <v>336</v>
      </c>
      <c r="F263" s="9" t="s">
        <v>38</v>
      </c>
      <c r="G263" s="19" t="n">
        <v>15000</v>
      </c>
      <c r="H263" s="19" t="n">
        <v>0</v>
      </c>
      <c r="I263" s="19" t="n">
        <v>0</v>
      </c>
      <c r="J263" s="18" t="s">
        <v>90</v>
      </c>
      <c r="K263" s="9"/>
    </row>
    <row r="264" customFormat="false" ht="18.75" hidden="false" customHeight="true" outlineLevel="0" collapsed="false">
      <c r="A264" s="20" t="n">
        <v>260</v>
      </c>
      <c r="B264" s="20" t="n">
        <v>264</v>
      </c>
      <c r="C264" s="24" t="s">
        <v>653</v>
      </c>
      <c r="D264" s="21" t="s">
        <v>549</v>
      </c>
      <c r="E264" s="21" t="s">
        <v>334</v>
      </c>
      <c r="F264" s="13" t="s">
        <v>38</v>
      </c>
      <c r="G264" s="22" t="n">
        <v>33000</v>
      </c>
      <c r="H264" s="22" t="n">
        <v>0</v>
      </c>
      <c r="I264" s="22" t="n">
        <v>0</v>
      </c>
      <c r="J264" s="21" t="s">
        <v>90</v>
      </c>
      <c r="K264" s="13"/>
    </row>
    <row r="265" customFormat="false" ht="18.75" hidden="false" customHeight="true" outlineLevel="0" collapsed="false">
      <c r="A265" s="17" t="n">
        <v>261</v>
      </c>
      <c r="B265" s="17" t="n">
        <v>265</v>
      </c>
      <c r="C265" s="23" t="s">
        <v>654</v>
      </c>
      <c r="D265" s="18" t="s">
        <v>549</v>
      </c>
      <c r="E265" s="18" t="s">
        <v>330</v>
      </c>
      <c r="F265" s="9" t="s">
        <v>42</v>
      </c>
      <c r="G265" s="19" t="n">
        <v>12200</v>
      </c>
      <c r="H265" s="19" t="n">
        <v>0</v>
      </c>
      <c r="I265" s="19" t="n">
        <v>0</v>
      </c>
      <c r="J265" s="18" t="s">
        <v>147</v>
      </c>
      <c r="K265" s="9"/>
    </row>
    <row r="266" customFormat="false" ht="18.75" hidden="false" customHeight="true" outlineLevel="0" collapsed="false">
      <c r="A266" s="20" t="n">
        <v>262</v>
      </c>
      <c r="B266" s="20" t="n">
        <v>266</v>
      </c>
      <c r="C266" s="24" t="s">
        <v>654</v>
      </c>
      <c r="D266" s="21" t="s">
        <v>549</v>
      </c>
      <c r="E266" s="21" t="s">
        <v>338</v>
      </c>
      <c r="F266" s="13" t="s">
        <v>38</v>
      </c>
      <c r="G266" s="22" t="n">
        <v>75000</v>
      </c>
      <c r="H266" s="22" t="n">
        <v>0</v>
      </c>
      <c r="I266" s="22" t="n">
        <v>0</v>
      </c>
      <c r="J266" s="21" t="s">
        <v>147</v>
      </c>
      <c r="K266" s="13" t="s">
        <v>629</v>
      </c>
    </row>
    <row r="267" customFormat="false" ht="18.75" hidden="false" customHeight="true" outlineLevel="0" collapsed="false">
      <c r="A267" s="17" t="n">
        <v>263</v>
      </c>
      <c r="B267" s="17" t="n">
        <v>267</v>
      </c>
      <c r="C267" s="23" t="s">
        <v>655</v>
      </c>
      <c r="D267" s="18" t="s">
        <v>549</v>
      </c>
      <c r="E267" s="18" t="s">
        <v>340</v>
      </c>
      <c r="F267" s="9" t="s">
        <v>38</v>
      </c>
      <c r="G267" s="19" t="n">
        <v>75000</v>
      </c>
      <c r="H267" s="19" t="n">
        <v>0</v>
      </c>
      <c r="I267" s="19" t="n">
        <v>0</v>
      </c>
      <c r="J267" s="18" t="s">
        <v>147</v>
      </c>
      <c r="K267" s="9" t="s">
        <v>629</v>
      </c>
    </row>
    <row r="268" customFormat="false" ht="18.75" hidden="false" customHeight="true" outlineLevel="0" collapsed="false">
      <c r="A268" s="20" t="n">
        <v>264</v>
      </c>
      <c r="B268" s="20" t="n">
        <v>269</v>
      </c>
      <c r="C268" s="24" t="s">
        <v>656</v>
      </c>
      <c r="D268" s="21" t="s">
        <v>549</v>
      </c>
      <c r="E268" s="21" t="s">
        <v>342</v>
      </c>
      <c r="F268" s="13" t="s">
        <v>46</v>
      </c>
      <c r="G268" s="22" t="n">
        <v>10000</v>
      </c>
      <c r="H268" s="22" t="n">
        <v>0</v>
      </c>
      <c r="I268" s="22" t="n">
        <v>0</v>
      </c>
      <c r="J268" s="21" t="s">
        <v>147</v>
      </c>
      <c r="K268" s="13"/>
    </row>
    <row r="269" customFormat="false" ht="18.75" hidden="false" customHeight="true" outlineLevel="0" collapsed="false">
      <c r="A269" s="17" t="n">
        <v>265</v>
      </c>
      <c r="B269" s="17" t="n">
        <v>270</v>
      </c>
      <c r="C269" s="23" t="s">
        <v>339</v>
      </c>
      <c r="D269" s="18" t="s">
        <v>549</v>
      </c>
      <c r="E269" s="18" t="s">
        <v>343</v>
      </c>
      <c r="F269" s="9" t="s">
        <v>42</v>
      </c>
      <c r="G269" s="19" t="n">
        <v>50000</v>
      </c>
      <c r="H269" s="19" t="n">
        <v>0</v>
      </c>
      <c r="I269" s="19" t="n">
        <v>0</v>
      </c>
      <c r="J269" s="18" t="s">
        <v>147</v>
      </c>
      <c r="K269" s="9"/>
    </row>
    <row r="270" customFormat="false" ht="18.75" hidden="false" customHeight="true" outlineLevel="0" collapsed="false">
      <c r="A270" s="20" t="n">
        <v>266</v>
      </c>
      <c r="B270" s="20" t="n">
        <v>271</v>
      </c>
      <c r="C270" s="24" t="s">
        <v>339</v>
      </c>
      <c r="D270" s="21" t="s">
        <v>941</v>
      </c>
      <c r="E270" s="21" t="s">
        <v>338</v>
      </c>
      <c r="F270" s="13" t="s">
        <v>46</v>
      </c>
      <c r="G270" s="22" t="n">
        <v>0</v>
      </c>
      <c r="H270" s="22" t="n">
        <v>0</v>
      </c>
      <c r="I270" s="22" t="n">
        <v>57577.81</v>
      </c>
      <c r="J270" s="21" t="s">
        <v>147</v>
      </c>
      <c r="K270" s="13"/>
    </row>
    <row r="271" customFormat="false" ht="18.75" hidden="false" customHeight="true" outlineLevel="0" collapsed="false">
      <c r="A271" s="17" t="n">
        <v>267</v>
      </c>
      <c r="B271" s="17" t="n">
        <v>272</v>
      </c>
      <c r="C271" s="23" t="s">
        <v>657</v>
      </c>
      <c r="D271" s="18" t="s">
        <v>549</v>
      </c>
      <c r="E271" s="18" t="s">
        <v>345</v>
      </c>
      <c r="F271" s="9" t="s">
        <v>46</v>
      </c>
      <c r="G271" s="19" t="n">
        <v>10000</v>
      </c>
      <c r="H271" s="19" t="n">
        <v>0</v>
      </c>
      <c r="I271" s="19" t="n">
        <v>0</v>
      </c>
      <c r="J271" s="18" t="s">
        <v>147</v>
      </c>
      <c r="K271" s="9"/>
    </row>
    <row r="272" customFormat="false" ht="18.75" hidden="false" customHeight="true" outlineLevel="0" collapsed="false">
      <c r="A272" s="20" t="n">
        <v>268</v>
      </c>
      <c r="B272" s="20" t="n">
        <v>273</v>
      </c>
      <c r="C272" s="24" t="s">
        <v>341</v>
      </c>
      <c r="D272" s="21" t="s">
        <v>941</v>
      </c>
      <c r="E272" s="21" t="s">
        <v>340</v>
      </c>
      <c r="F272" s="13" t="s">
        <v>42</v>
      </c>
      <c r="G272" s="22" t="n">
        <v>0</v>
      </c>
      <c r="H272" s="22" t="n">
        <v>0</v>
      </c>
      <c r="I272" s="22" t="n">
        <v>57000</v>
      </c>
      <c r="J272" s="21" t="s">
        <v>147</v>
      </c>
      <c r="K272" s="13"/>
    </row>
    <row r="273" customFormat="false" ht="18.75" hidden="false" customHeight="true" outlineLevel="0" collapsed="false">
      <c r="A273" s="17" t="n">
        <v>269</v>
      </c>
      <c r="B273" s="17" t="n">
        <v>274</v>
      </c>
      <c r="C273" s="23" t="s">
        <v>341</v>
      </c>
      <c r="D273" s="18" t="s">
        <v>941</v>
      </c>
      <c r="E273" s="18" t="s">
        <v>342</v>
      </c>
      <c r="F273" s="9" t="s">
        <v>38</v>
      </c>
      <c r="G273" s="19" t="n">
        <v>0</v>
      </c>
      <c r="H273" s="19" t="n">
        <v>0</v>
      </c>
      <c r="I273" s="19" t="n">
        <v>124755</v>
      </c>
      <c r="J273" s="18" t="s">
        <v>147</v>
      </c>
      <c r="K273" s="9"/>
    </row>
    <row r="274" customFormat="false" ht="18.75" hidden="false" customHeight="true" outlineLevel="0" collapsed="false">
      <c r="A274" s="20" t="n">
        <v>270</v>
      </c>
      <c r="B274" s="20" t="n">
        <v>275</v>
      </c>
      <c r="C274" s="24" t="s">
        <v>658</v>
      </c>
      <c r="D274" s="21" t="s">
        <v>549</v>
      </c>
      <c r="E274" s="21" t="s">
        <v>347</v>
      </c>
      <c r="F274" s="13" t="s">
        <v>46</v>
      </c>
      <c r="G274" s="22" t="n">
        <v>10000</v>
      </c>
      <c r="H274" s="22" t="n">
        <v>0</v>
      </c>
      <c r="I274" s="22" t="n">
        <v>0</v>
      </c>
      <c r="J274" s="21" t="s">
        <v>147</v>
      </c>
      <c r="K274" s="13"/>
    </row>
    <row r="275" customFormat="false" ht="18.75" hidden="false" customHeight="true" outlineLevel="0" collapsed="false">
      <c r="A275" s="17" t="n">
        <v>271</v>
      </c>
      <c r="B275" s="17" t="n">
        <v>276</v>
      </c>
      <c r="C275" s="23" t="s">
        <v>659</v>
      </c>
      <c r="D275" s="18" t="s">
        <v>549</v>
      </c>
      <c r="E275" s="18" t="s">
        <v>349</v>
      </c>
      <c r="F275" s="9" t="s">
        <v>38</v>
      </c>
      <c r="G275" s="19" t="n">
        <v>200000</v>
      </c>
      <c r="H275" s="19" t="n">
        <v>0</v>
      </c>
      <c r="I275" s="19" t="n">
        <v>0</v>
      </c>
      <c r="J275" s="18" t="s">
        <v>147</v>
      </c>
      <c r="K275" s="9" t="s">
        <v>660</v>
      </c>
    </row>
    <row r="276" customFormat="false" ht="18.75" hidden="false" customHeight="true" outlineLevel="0" collapsed="false">
      <c r="A276" s="20" t="n">
        <v>272</v>
      </c>
      <c r="B276" s="20" t="n">
        <v>277</v>
      </c>
      <c r="C276" s="24" t="s">
        <v>344</v>
      </c>
      <c r="D276" s="21" t="s">
        <v>941</v>
      </c>
      <c r="E276" s="21" t="s">
        <v>343</v>
      </c>
      <c r="F276" s="13" t="s">
        <v>38</v>
      </c>
      <c r="G276" s="22" t="n">
        <v>0</v>
      </c>
      <c r="H276" s="22" t="n">
        <v>0</v>
      </c>
      <c r="I276" s="22" t="n">
        <v>101395</v>
      </c>
      <c r="J276" s="21" t="s">
        <v>147</v>
      </c>
      <c r="K276" s="13"/>
    </row>
    <row r="277" customFormat="false" ht="18.75" hidden="false" customHeight="true" outlineLevel="0" collapsed="false">
      <c r="A277" s="17" t="n">
        <v>273</v>
      </c>
      <c r="B277" s="17" t="n">
        <v>285</v>
      </c>
      <c r="C277" s="23" t="s">
        <v>661</v>
      </c>
      <c r="D277" s="18" t="s">
        <v>549</v>
      </c>
      <c r="E277" s="18" t="s">
        <v>357</v>
      </c>
      <c r="F277" s="9" t="s">
        <v>38</v>
      </c>
      <c r="G277" s="19" t="n">
        <v>100000</v>
      </c>
      <c r="H277" s="19" t="n">
        <v>0</v>
      </c>
      <c r="I277" s="19" t="n">
        <v>0</v>
      </c>
      <c r="J277" s="18" t="s">
        <v>90</v>
      </c>
      <c r="K277" s="9"/>
    </row>
    <row r="278" customFormat="false" ht="18.75" hidden="false" customHeight="true" outlineLevel="0" collapsed="false">
      <c r="A278" s="20" t="n">
        <v>274</v>
      </c>
      <c r="B278" s="20" t="n">
        <v>278</v>
      </c>
      <c r="C278" s="24" t="s">
        <v>662</v>
      </c>
      <c r="D278" s="21" t="s">
        <v>549</v>
      </c>
      <c r="E278" s="21" t="s">
        <v>351</v>
      </c>
      <c r="F278" s="13" t="s">
        <v>46</v>
      </c>
      <c r="G278" s="22" t="n">
        <v>10000</v>
      </c>
      <c r="H278" s="22" t="n">
        <v>0</v>
      </c>
      <c r="I278" s="22" t="n">
        <v>0</v>
      </c>
      <c r="J278" s="21" t="s">
        <v>147</v>
      </c>
      <c r="K278" s="13"/>
    </row>
    <row r="279" customFormat="false" ht="18.75" hidden="false" customHeight="true" outlineLevel="0" collapsed="false">
      <c r="A279" s="17" t="n">
        <v>275</v>
      </c>
      <c r="B279" s="17" t="n">
        <v>279</v>
      </c>
      <c r="C279" s="23" t="s">
        <v>346</v>
      </c>
      <c r="D279" s="18" t="s">
        <v>549</v>
      </c>
      <c r="E279" s="18" t="s">
        <v>352</v>
      </c>
      <c r="F279" s="9" t="s">
        <v>42</v>
      </c>
      <c r="G279" s="19" t="n">
        <v>56500</v>
      </c>
      <c r="H279" s="19" t="n">
        <v>0</v>
      </c>
      <c r="I279" s="19" t="n">
        <v>0</v>
      </c>
      <c r="J279" s="18" t="s">
        <v>147</v>
      </c>
      <c r="K279" s="9"/>
    </row>
    <row r="280" customFormat="false" ht="18.75" hidden="false" customHeight="true" outlineLevel="0" collapsed="false">
      <c r="A280" s="20" t="n">
        <v>276</v>
      </c>
      <c r="B280" s="20" t="n">
        <v>280</v>
      </c>
      <c r="C280" s="24" t="s">
        <v>346</v>
      </c>
      <c r="D280" s="21" t="s">
        <v>941</v>
      </c>
      <c r="E280" s="21" t="s">
        <v>345</v>
      </c>
      <c r="F280" s="13" t="s">
        <v>42</v>
      </c>
      <c r="G280" s="22" t="n">
        <v>0</v>
      </c>
      <c r="H280" s="22" t="n">
        <v>0</v>
      </c>
      <c r="I280" s="22" t="n">
        <v>36100</v>
      </c>
      <c r="J280" s="21" t="s">
        <v>147</v>
      </c>
      <c r="K280" s="13"/>
    </row>
    <row r="281" customFormat="false" ht="18.75" hidden="false" customHeight="true" outlineLevel="0" collapsed="false">
      <c r="A281" s="17" t="n">
        <v>277</v>
      </c>
      <c r="B281" s="17" t="n">
        <v>281</v>
      </c>
      <c r="C281" s="23" t="s">
        <v>348</v>
      </c>
      <c r="D281" s="18" t="s">
        <v>549</v>
      </c>
      <c r="E281" s="18" t="s">
        <v>355</v>
      </c>
      <c r="F281" s="9" t="s">
        <v>38</v>
      </c>
      <c r="G281" s="19" t="n">
        <v>100000</v>
      </c>
      <c r="H281" s="19" t="n">
        <v>0</v>
      </c>
      <c r="I281" s="19" t="n">
        <v>0</v>
      </c>
      <c r="J281" s="18" t="s">
        <v>147</v>
      </c>
      <c r="K281" s="9" t="s">
        <v>629</v>
      </c>
    </row>
    <row r="282" customFormat="false" ht="18.75" hidden="false" customHeight="true" outlineLevel="0" collapsed="false">
      <c r="A282" s="20" t="n">
        <v>278</v>
      </c>
      <c r="B282" s="20" t="n">
        <v>282</v>
      </c>
      <c r="C282" s="24" t="s">
        <v>348</v>
      </c>
      <c r="D282" s="21" t="s">
        <v>941</v>
      </c>
      <c r="E282" s="21" t="s">
        <v>347</v>
      </c>
      <c r="F282" s="13" t="s">
        <v>38</v>
      </c>
      <c r="G282" s="22" t="n">
        <v>0</v>
      </c>
      <c r="H282" s="22" t="n">
        <v>0</v>
      </c>
      <c r="I282" s="22" t="n">
        <v>89464</v>
      </c>
      <c r="J282" s="21" t="s">
        <v>147</v>
      </c>
      <c r="K282" s="13"/>
    </row>
    <row r="283" customFormat="false" ht="18.75" hidden="false" customHeight="true" outlineLevel="0" collapsed="false">
      <c r="A283" s="17" t="n">
        <v>279</v>
      </c>
      <c r="B283" s="17" t="n">
        <v>283</v>
      </c>
      <c r="C283" s="23" t="s">
        <v>350</v>
      </c>
      <c r="D283" s="18" t="s">
        <v>941</v>
      </c>
      <c r="E283" s="18" t="s">
        <v>349</v>
      </c>
      <c r="F283" s="9" t="s">
        <v>38</v>
      </c>
      <c r="G283" s="19" t="n">
        <v>0</v>
      </c>
      <c r="H283" s="19" t="n">
        <v>0</v>
      </c>
      <c r="I283" s="19" t="n">
        <v>34897.5</v>
      </c>
      <c r="J283" s="18" t="s">
        <v>147</v>
      </c>
      <c r="K283" s="9"/>
    </row>
    <row r="284" customFormat="false" ht="18.75" hidden="false" customHeight="true" outlineLevel="0" collapsed="false">
      <c r="A284" s="20" t="n">
        <v>280</v>
      </c>
      <c r="B284" s="20" t="n">
        <v>284</v>
      </c>
      <c r="C284" s="24" t="s">
        <v>350</v>
      </c>
      <c r="D284" s="21" t="s">
        <v>941</v>
      </c>
      <c r="E284" s="21" t="s">
        <v>351</v>
      </c>
      <c r="F284" s="13" t="s">
        <v>42</v>
      </c>
      <c r="G284" s="22" t="n">
        <v>62500</v>
      </c>
      <c r="H284" s="22" t="n">
        <v>0</v>
      </c>
      <c r="I284" s="22" t="n">
        <v>0</v>
      </c>
      <c r="J284" s="21" t="s">
        <v>147</v>
      </c>
      <c r="K284" s="13"/>
    </row>
    <row r="285" customFormat="false" ht="18.75" hidden="false" customHeight="true" outlineLevel="0" collapsed="false">
      <c r="A285" s="17" t="n">
        <v>281</v>
      </c>
      <c r="B285" s="17" t="n">
        <v>287</v>
      </c>
      <c r="C285" s="23" t="s">
        <v>663</v>
      </c>
      <c r="D285" s="18" t="s">
        <v>549</v>
      </c>
      <c r="E285" s="18" t="s">
        <v>359</v>
      </c>
      <c r="F285" s="9" t="s">
        <v>46</v>
      </c>
      <c r="G285" s="19" t="n">
        <v>10000</v>
      </c>
      <c r="H285" s="19" t="n">
        <v>0</v>
      </c>
      <c r="I285" s="19" t="n">
        <v>0</v>
      </c>
      <c r="J285" s="18" t="s">
        <v>90</v>
      </c>
      <c r="K285" s="9"/>
    </row>
    <row r="286" customFormat="false" ht="18.75" hidden="false" customHeight="true" outlineLevel="0" collapsed="false">
      <c r="A286" s="20" t="n">
        <v>282</v>
      </c>
      <c r="B286" s="20" t="n">
        <v>286</v>
      </c>
      <c r="C286" s="24" t="s">
        <v>353</v>
      </c>
      <c r="D286" s="21" t="s">
        <v>941</v>
      </c>
      <c r="E286" s="21" t="s">
        <v>352</v>
      </c>
      <c r="F286" s="13" t="s">
        <v>354</v>
      </c>
      <c r="G286" s="22" t="n">
        <v>0</v>
      </c>
      <c r="H286" s="22" t="n">
        <v>0</v>
      </c>
      <c r="I286" s="22" t="n">
        <v>36000</v>
      </c>
      <c r="J286" s="21" t="s">
        <v>147</v>
      </c>
      <c r="K286" s="13"/>
    </row>
    <row r="287" customFormat="false" ht="18.75" hidden="false" customHeight="true" outlineLevel="0" collapsed="false">
      <c r="A287" s="17" t="n">
        <v>283</v>
      </c>
      <c r="B287" s="17" t="n">
        <v>288</v>
      </c>
      <c r="C287" s="23" t="s">
        <v>664</v>
      </c>
      <c r="D287" s="18" t="s">
        <v>549</v>
      </c>
      <c r="E287" s="18" t="s">
        <v>361</v>
      </c>
      <c r="F287" s="9" t="s">
        <v>42</v>
      </c>
      <c r="G287" s="19" t="n">
        <v>36000</v>
      </c>
      <c r="H287" s="19" t="n">
        <v>0</v>
      </c>
      <c r="I287" s="19" t="n">
        <v>0</v>
      </c>
      <c r="J287" s="18" t="s">
        <v>147</v>
      </c>
      <c r="K287" s="9"/>
    </row>
    <row r="288" customFormat="false" ht="18.75" hidden="false" customHeight="true" outlineLevel="0" collapsed="false">
      <c r="A288" s="20" t="n">
        <v>284</v>
      </c>
      <c r="B288" s="20" t="n">
        <v>289</v>
      </c>
      <c r="C288" s="24" t="s">
        <v>665</v>
      </c>
      <c r="D288" s="21" t="s">
        <v>549</v>
      </c>
      <c r="E288" s="21" t="s">
        <v>363</v>
      </c>
      <c r="F288" s="13" t="s">
        <v>46</v>
      </c>
      <c r="G288" s="22" t="n">
        <v>10000</v>
      </c>
      <c r="H288" s="22" t="n">
        <v>0</v>
      </c>
      <c r="I288" s="22" t="n">
        <v>0</v>
      </c>
      <c r="J288" s="21" t="s">
        <v>147</v>
      </c>
      <c r="K288" s="13"/>
    </row>
    <row r="289" customFormat="false" ht="18.75" hidden="false" customHeight="true" outlineLevel="0" collapsed="false">
      <c r="A289" s="17" t="n">
        <v>285</v>
      </c>
      <c r="B289" s="17" t="n">
        <v>290</v>
      </c>
      <c r="C289" s="23" t="s">
        <v>666</v>
      </c>
      <c r="D289" s="18" t="s">
        <v>549</v>
      </c>
      <c r="E289" s="18" t="s">
        <v>365</v>
      </c>
      <c r="F289" s="9" t="s">
        <v>38</v>
      </c>
      <c r="G289" s="19" t="n">
        <v>109250</v>
      </c>
      <c r="H289" s="19" t="n">
        <v>0</v>
      </c>
      <c r="I289" s="19" t="n">
        <v>0</v>
      </c>
      <c r="J289" s="18" t="s">
        <v>147</v>
      </c>
      <c r="K289" s="9" t="s">
        <v>667</v>
      </c>
    </row>
    <row r="290" customFormat="false" ht="18.75" hidden="false" customHeight="true" outlineLevel="0" collapsed="false">
      <c r="A290" s="20" t="n">
        <v>286</v>
      </c>
      <c r="B290" s="20" t="n">
        <v>291</v>
      </c>
      <c r="C290" s="24" t="s">
        <v>356</v>
      </c>
      <c r="D290" s="21" t="s">
        <v>941</v>
      </c>
      <c r="E290" s="21" t="s">
        <v>355</v>
      </c>
      <c r="F290" s="13" t="s">
        <v>42</v>
      </c>
      <c r="G290" s="22" t="n">
        <v>0</v>
      </c>
      <c r="H290" s="22" t="n">
        <v>0</v>
      </c>
      <c r="I290" s="22" t="n">
        <v>34500</v>
      </c>
      <c r="J290" s="21" t="s">
        <v>147</v>
      </c>
      <c r="K290" s="13"/>
    </row>
    <row r="291" customFormat="false" ht="18.75" hidden="false" customHeight="true" outlineLevel="0" collapsed="false">
      <c r="A291" s="17" t="n">
        <v>287</v>
      </c>
      <c r="B291" s="17" t="n">
        <v>292</v>
      </c>
      <c r="C291" s="23" t="s">
        <v>668</v>
      </c>
      <c r="D291" s="18" t="s">
        <v>549</v>
      </c>
      <c r="E291" s="18" t="s">
        <v>367</v>
      </c>
      <c r="F291" s="9" t="s">
        <v>38</v>
      </c>
      <c r="G291" s="19" t="n">
        <v>40000</v>
      </c>
      <c r="H291" s="19" t="n">
        <v>0</v>
      </c>
      <c r="I291" s="19" t="n">
        <v>0</v>
      </c>
      <c r="J291" s="18" t="s">
        <v>147</v>
      </c>
      <c r="K291" s="9" t="s">
        <v>669</v>
      </c>
    </row>
    <row r="292" customFormat="false" ht="18.75" hidden="false" customHeight="true" outlineLevel="0" collapsed="false">
      <c r="A292" s="20" t="n">
        <v>288</v>
      </c>
      <c r="B292" s="20" t="n">
        <v>293</v>
      </c>
      <c r="C292" s="24" t="s">
        <v>358</v>
      </c>
      <c r="D292" s="21" t="s">
        <v>549</v>
      </c>
      <c r="E292" s="21" t="s">
        <v>369</v>
      </c>
      <c r="F292" s="13" t="s">
        <v>38</v>
      </c>
      <c r="G292" s="22" t="n">
        <v>84000</v>
      </c>
      <c r="H292" s="22" t="n">
        <v>0</v>
      </c>
      <c r="I292" s="22" t="n">
        <v>0</v>
      </c>
      <c r="J292" s="21" t="s">
        <v>90</v>
      </c>
      <c r="K292" s="13" t="s">
        <v>670</v>
      </c>
    </row>
    <row r="293" customFormat="false" ht="18.75" hidden="false" customHeight="true" outlineLevel="0" collapsed="false">
      <c r="A293" s="17" t="n">
        <v>289</v>
      </c>
      <c r="B293" s="17" t="n">
        <v>294</v>
      </c>
      <c r="C293" s="23" t="s">
        <v>358</v>
      </c>
      <c r="D293" s="18" t="s">
        <v>941</v>
      </c>
      <c r="E293" s="18" t="s">
        <v>357</v>
      </c>
      <c r="F293" s="9" t="s">
        <v>38</v>
      </c>
      <c r="G293" s="19" t="n">
        <v>0</v>
      </c>
      <c r="H293" s="19" t="n">
        <v>0</v>
      </c>
      <c r="I293" s="19" t="n">
        <v>66000</v>
      </c>
      <c r="J293" s="18" t="s">
        <v>147</v>
      </c>
      <c r="K293" s="9"/>
    </row>
    <row r="294" customFormat="false" ht="18.75" hidden="false" customHeight="true" outlineLevel="0" collapsed="false">
      <c r="A294" s="20" t="n">
        <v>290</v>
      </c>
      <c r="B294" s="20" t="n">
        <v>295</v>
      </c>
      <c r="C294" s="24" t="s">
        <v>358</v>
      </c>
      <c r="D294" s="21" t="s">
        <v>549</v>
      </c>
      <c r="E294" s="21" t="s">
        <v>371</v>
      </c>
      <c r="F294" s="13" t="s">
        <v>46</v>
      </c>
      <c r="G294" s="22" t="n">
        <v>5000</v>
      </c>
      <c r="H294" s="22" t="n">
        <v>0</v>
      </c>
      <c r="I294" s="22" t="n">
        <v>0</v>
      </c>
      <c r="J294" s="21" t="s">
        <v>90</v>
      </c>
      <c r="K294" s="13"/>
    </row>
    <row r="295" customFormat="false" ht="18.75" hidden="false" customHeight="true" outlineLevel="0" collapsed="false">
      <c r="A295" s="17" t="n">
        <v>291</v>
      </c>
      <c r="B295" s="17" t="n">
        <v>297</v>
      </c>
      <c r="C295" s="23" t="s">
        <v>358</v>
      </c>
      <c r="D295" s="18" t="s">
        <v>549</v>
      </c>
      <c r="E295" s="18" t="s">
        <v>373</v>
      </c>
      <c r="F295" s="9" t="s">
        <v>38</v>
      </c>
      <c r="G295" s="19" t="n">
        <v>6000</v>
      </c>
      <c r="H295" s="19" t="n">
        <v>0</v>
      </c>
      <c r="I295" s="19" t="n">
        <v>0</v>
      </c>
      <c r="J295" s="18" t="s">
        <v>147</v>
      </c>
      <c r="K295" s="9" t="s">
        <v>671</v>
      </c>
    </row>
    <row r="296" customFormat="false" ht="18.75" hidden="false" customHeight="true" outlineLevel="0" collapsed="false">
      <c r="A296" s="20" t="n">
        <v>292</v>
      </c>
      <c r="B296" s="20" t="n">
        <v>296</v>
      </c>
      <c r="C296" s="24" t="s">
        <v>360</v>
      </c>
      <c r="D296" s="21" t="s">
        <v>941</v>
      </c>
      <c r="E296" s="21" t="s">
        <v>359</v>
      </c>
      <c r="F296" s="13" t="s">
        <v>38</v>
      </c>
      <c r="G296" s="22" t="n">
        <v>0</v>
      </c>
      <c r="H296" s="22" t="n">
        <v>0</v>
      </c>
      <c r="I296" s="22" t="n">
        <v>182433.63</v>
      </c>
      <c r="J296" s="21" t="s">
        <v>147</v>
      </c>
      <c r="K296" s="13"/>
    </row>
    <row r="297" customFormat="false" ht="18.75" hidden="false" customHeight="true" outlineLevel="0" collapsed="false">
      <c r="A297" s="17" t="n">
        <v>293</v>
      </c>
      <c r="B297" s="17" t="n">
        <v>298</v>
      </c>
      <c r="C297" s="23" t="s">
        <v>362</v>
      </c>
      <c r="D297" s="18" t="s">
        <v>941</v>
      </c>
      <c r="E297" s="18" t="s">
        <v>361</v>
      </c>
      <c r="F297" s="9" t="s">
        <v>42</v>
      </c>
      <c r="G297" s="19" t="n">
        <v>0</v>
      </c>
      <c r="H297" s="19" t="n">
        <v>0</v>
      </c>
      <c r="I297" s="19" t="n">
        <v>65366.88</v>
      </c>
      <c r="J297" s="18" t="s">
        <v>147</v>
      </c>
      <c r="K297" s="9"/>
    </row>
    <row r="298" customFormat="false" ht="18.75" hidden="false" customHeight="true" outlineLevel="0" collapsed="false">
      <c r="A298" s="20" t="n">
        <v>294</v>
      </c>
      <c r="B298" s="20" t="n">
        <v>299</v>
      </c>
      <c r="C298" s="24" t="s">
        <v>364</v>
      </c>
      <c r="D298" s="21" t="s">
        <v>941</v>
      </c>
      <c r="E298" s="21" t="s">
        <v>363</v>
      </c>
      <c r="F298" s="13" t="s">
        <v>38</v>
      </c>
      <c r="G298" s="22" t="n">
        <v>0</v>
      </c>
      <c r="H298" s="22" t="n">
        <v>0</v>
      </c>
      <c r="I298" s="22" t="n">
        <v>141284.75</v>
      </c>
      <c r="J298" s="21" t="s">
        <v>147</v>
      </c>
      <c r="K298" s="13"/>
    </row>
    <row r="299" customFormat="false" ht="18.75" hidden="false" customHeight="true" outlineLevel="0" collapsed="false">
      <c r="A299" s="17" t="n">
        <v>295</v>
      </c>
      <c r="B299" s="17" t="n">
        <v>300</v>
      </c>
      <c r="C299" s="23" t="s">
        <v>364</v>
      </c>
      <c r="D299" s="18" t="s">
        <v>549</v>
      </c>
      <c r="E299" s="18" t="s">
        <v>374</v>
      </c>
      <c r="F299" s="9" t="s">
        <v>38</v>
      </c>
      <c r="G299" s="19" t="n">
        <v>100000</v>
      </c>
      <c r="H299" s="19" t="n">
        <v>0</v>
      </c>
      <c r="I299" s="19" t="n">
        <v>0</v>
      </c>
      <c r="J299" s="18" t="s">
        <v>147</v>
      </c>
      <c r="K299" s="9" t="s">
        <v>672</v>
      </c>
    </row>
    <row r="300" customFormat="false" ht="18.75" hidden="false" customHeight="true" outlineLevel="0" collapsed="false">
      <c r="A300" s="20" t="n">
        <v>296</v>
      </c>
      <c r="B300" s="20" t="n">
        <v>301</v>
      </c>
      <c r="C300" s="24" t="s">
        <v>673</v>
      </c>
      <c r="D300" s="21" t="s">
        <v>549</v>
      </c>
      <c r="E300" s="21" t="s">
        <v>376</v>
      </c>
      <c r="F300" s="13" t="s">
        <v>38</v>
      </c>
      <c r="G300" s="22" t="n">
        <v>100000</v>
      </c>
      <c r="H300" s="22" t="n">
        <v>0</v>
      </c>
      <c r="I300" s="22" t="n">
        <v>0</v>
      </c>
      <c r="J300" s="21" t="s">
        <v>147</v>
      </c>
      <c r="K300" s="13" t="s">
        <v>674</v>
      </c>
    </row>
    <row r="301" customFormat="false" ht="18.75" hidden="false" customHeight="true" outlineLevel="0" collapsed="false">
      <c r="A301" s="17" t="n">
        <v>297</v>
      </c>
      <c r="B301" s="17" t="n">
        <v>303</v>
      </c>
      <c r="C301" s="23" t="s">
        <v>675</v>
      </c>
      <c r="D301" s="18" t="s">
        <v>549</v>
      </c>
      <c r="E301" s="18" t="s">
        <v>382</v>
      </c>
      <c r="F301" s="9" t="s">
        <v>46</v>
      </c>
      <c r="G301" s="19" t="n">
        <v>10000</v>
      </c>
      <c r="H301" s="19" t="n">
        <v>0</v>
      </c>
      <c r="I301" s="19" t="n">
        <v>0</v>
      </c>
      <c r="J301" s="18" t="s">
        <v>147</v>
      </c>
      <c r="K301" s="9"/>
    </row>
    <row r="302" customFormat="false" ht="18.75" hidden="false" customHeight="true" outlineLevel="0" collapsed="false">
      <c r="A302" s="20" t="n">
        <v>298</v>
      </c>
      <c r="B302" s="20" t="n">
        <v>302</v>
      </c>
      <c r="C302" s="24" t="s">
        <v>676</v>
      </c>
      <c r="D302" s="21" t="s">
        <v>549</v>
      </c>
      <c r="E302" s="21" t="s">
        <v>378</v>
      </c>
      <c r="F302" s="13" t="s">
        <v>38</v>
      </c>
      <c r="G302" s="22" t="n">
        <v>100000</v>
      </c>
      <c r="H302" s="22" t="n">
        <v>0</v>
      </c>
      <c r="I302" s="22" t="n">
        <v>0</v>
      </c>
      <c r="J302" s="21" t="s">
        <v>147</v>
      </c>
      <c r="K302" s="13" t="s">
        <v>677</v>
      </c>
    </row>
    <row r="303" customFormat="false" ht="18.75" hidden="false" customHeight="true" outlineLevel="0" collapsed="false">
      <c r="A303" s="17" t="n">
        <v>299</v>
      </c>
      <c r="B303" s="17" t="n">
        <v>306</v>
      </c>
      <c r="C303" s="23" t="s">
        <v>366</v>
      </c>
      <c r="D303" s="18" t="s">
        <v>941</v>
      </c>
      <c r="E303" s="18" t="s">
        <v>365</v>
      </c>
      <c r="F303" s="9" t="s">
        <v>38</v>
      </c>
      <c r="G303" s="19" t="n">
        <v>0</v>
      </c>
      <c r="H303" s="19" t="n">
        <v>0</v>
      </c>
      <c r="I303" s="19" t="n">
        <v>101073.56</v>
      </c>
      <c r="J303" s="18" t="s">
        <v>147</v>
      </c>
      <c r="K303" s="9"/>
    </row>
    <row r="304" customFormat="false" ht="18.75" hidden="false" customHeight="true" outlineLevel="0" collapsed="false">
      <c r="A304" s="20" t="n">
        <v>300</v>
      </c>
      <c r="B304" s="20" t="n">
        <v>304</v>
      </c>
      <c r="C304" s="24" t="s">
        <v>678</v>
      </c>
      <c r="D304" s="21" t="s">
        <v>549</v>
      </c>
      <c r="E304" s="21" t="s">
        <v>380</v>
      </c>
      <c r="F304" s="13" t="s">
        <v>46</v>
      </c>
      <c r="G304" s="22" t="n">
        <v>10000</v>
      </c>
      <c r="H304" s="22" t="n">
        <v>0</v>
      </c>
      <c r="I304" s="22" t="n">
        <v>0</v>
      </c>
      <c r="J304" s="21" t="s">
        <v>90</v>
      </c>
      <c r="K304" s="13" t="s">
        <v>679</v>
      </c>
    </row>
    <row r="305" customFormat="false" ht="18.75" hidden="false" customHeight="true" outlineLevel="0" collapsed="false">
      <c r="A305" s="17" t="n">
        <v>301</v>
      </c>
      <c r="B305" s="17" t="n">
        <v>305</v>
      </c>
      <c r="C305" s="23" t="s">
        <v>368</v>
      </c>
      <c r="D305" s="18" t="s">
        <v>549</v>
      </c>
      <c r="E305" s="18" t="s">
        <v>384</v>
      </c>
      <c r="F305" s="9" t="s">
        <v>38</v>
      </c>
      <c r="G305" s="19" t="n">
        <v>100000</v>
      </c>
      <c r="H305" s="19" t="n">
        <v>0</v>
      </c>
      <c r="I305" s="19" t="n">
        <v>0</v>
      </c>
      <c r="J305" s="18" t="s">
        <v>147</v>
      </c>
      <c r="K305" s="9" t="s">
        <v>680</v>
      </c>
    </row>
    <row r="306" customFormat="false" ht="18.75" hidden="false" customHeight="true" outlineLevel="0" collapsed="false">
      <c r="A306" s="20" t="n">
        <v>302</v>
      </c>
      <c r="B306" s="20" t="n">
        <v>307</v>
      </c>
      <c r="C306" s="24" t="s">
        <v>368</v>
      </c>
      <c r="D306" s="21" t="s">
        <v>941</v>
      </c>
      <c r="E306" s="21" t="s">
        <v>367</v>
      </c>
      <c r="F306" s="13" t="s">
        <v>38</v>
      </c>
      <c r="G306" s="22" t="n">
        <v>0</v>
      </c>
      <c r="H306" s="22" t="n">
        <v>0</v>
      </c>
      <c r="I306" s="22" t="n">
        <v>137695.81</v>
      </c>
      <c r="J306" s="21" t="s">
        <v>147</v>
      </c>
      <c r="K306" s="13"/>
    </row>
    <row r="307" customFormat="false" ht="18.75" hidden="false" customHeight="true" outlineLevel="0" collapsed="false">
      <c r="A307" s="17" t="n">
        <v>303</v>
      </c>
      <c r="B307" s="17" t="n">
        <v>308</v>
      </c>
      <c r="C307" s="23" t="s">
        <v>681</v>
      </c>
      <c r="D307" s="18" t="s">
        <v>549</v>
      </c>
      <c r="E307" s="18" t="s">
        <v>386</v>
      </c>
      <c r="F307" s="9" t="s">
        <v>38</v>
      </c>
      <c r="G307" s="19" t="n">
        <v>100000</v>
      </c>
      <c r="H307" s="19" t="n">
        <v>0</v>
      </c>
      <c r="I307" s="19" t="n">
        <v>0</v>
      </c>
      <c r="J307" s="18" t="s">
        <v>147</v>
      </c>
      <c r="K307" s="9" t="s">
        <v>682</v>
      </c>
    </row>
    <row r="308" customFormat="false" ht="18.75" hidden="false" customHeight="true" outlineLevel="0" collapsed="false">
      <c r="A308" s="20" t="n">
        <v>304</v>
      </c>
      <c r="B308" s="20" t="n">
        <v>309</v>
      </c>
      <c r="C308" s="24" t="s">
        <v>683</v>
      </c>
      <c r="D308" s="21" t="s">
        <v>549</v>
      </c>
      <c r="E308" s="21" t="s">
        <v>388</v>
      </c>
      <c r="F308" s="13" t="s">
        <v>38</v>
      </c>
      <c r="G308" s="22" t="n">
        <v>100000</v>
      </c>
      <c r="H308" s="22" t="n">
        <v>0</v>
      </c>
      <c r="I308" s="22" t="n">
        <v>0</v>
      </c>
      <c r="J308" s="21" t="s">
        <v>147</v>
      </c>
      <c r="K308" s="13" t="s">
        <v>684</v>
      </c>
    </row>
    <row r="309" customFormat="false" ht="18.75" hidden="false" customHeight="true" outlineLevel="0" collapsed="false">
      <c r="A309" s="17" t="n">
        <v>305</v>
      </c>
      <c r="B309" s="17" t="n">
        <v>310</v>
      </c>
      <c r="C309" s="23" t="s">
        <v>685</v>
      </c>
      <c r="D309" s="18" t="s">
        <v>549</v>
      </c>
      <c r="E309" s="18" t="s">
        <v>390</v>
      </c>
      <c r="F309" s="9" t="s">
        <v>42</v>
      </c>
      <c r="G309" s="19" t="n">
        <v>34500</v>
      </c>
      <c r="H309" s="19" t="n">
        <v>0</v>
      </c>
      <c r="I309" s="19" t="n">
        <v>0</v>
      </c>
      <c r="J309" s="18" t="s">
        <v>147</v>
      </c>
      <c r="K309" s="9"/>
    </row>
    <row r="310" customFormat="false" ht="18.75" hidden="false" customHeight="true" outlineLevel="0" collapsed="false">
      <c r="A310" s="20" t="n">
        <v>306</v>
      </c>
      <c r="B310" s="20" t="n">
        <v>311</v>
      </c>
      <c r="C310" s="24" t="s">
        <v>370</v>
      </c>
      <c r="D310" s="21" t="s">
        <v>941</v>
      </c>
      <c r="E310" s="21" t="s">
        <v>369</v>
      </c>
      <c r="F310" s="13" t="s">
        <v>38</v>
      </c>
      <c r="G310" s="22" t="n">
        <v>0</v>
      </c>
      <c r="H310" s="22" t="n">
        <v>0</v>
      </c>
      <c r="I310" s="22" t="n">
        <v>95990</v>
      </c>
      <c r="J310" s="21" t="s">
        <v>147</v>
      </c>
      <c r="K310" s="13"/>
    </row>
    <row r="311" customFormat="false" ht="18.75" hidden="false" customHeight="true" outlineLevel="0" collapsed="false">
      <c r="A311" s="17" t="n">
        <v>307</v>
      </c>
      <c r="B311" s="17" t="n">
        <v>312</v>
      </c>
      <c r="C311" s="23" t="s">
        <v>686</v>
      </c>
      <c r="D311" s="18" t="s">
        <v>549</v>
      </c>
      <c r="E311" s="18" t="s">
        <v>393</v>
      </c>
      <c r="F311" s="9" t="s">
        <v>46</v>
      </c>
      <c r="G311" s="19" t="n">
        <v>10000</v>
      </c>
      <c r="H311" s="19" t="n">
        <v>0</v>
      </c>
      <c r="I311" s="19" t="n">
        <v>0</v>
      </c>
      <c r="J311" s="18" t="s">
        <v>147</v>
      </c>
      <c r="K311" s="9"/>
    </row>
    <row r="312" customFormat="false" ht="18.75" hidden="false" customHeight="true" outlineLevel="0" collapsed="false">
      <c r="A312" s="20" t="n">
        <v>308</v>
      </c>
      <c r="B312" s="20" t="n">
        <v>313</v>
      </c>
      <c r="C312" s="24" t="s">
        <v>372</v>
      </c>
      <c r="D312" s="21" t="s">
        <v>941</v>
      </c>
      <c r="E312" s="21" t="s">
        <v>371</v>
      </c>
      <c r="F312" s="13" t="s">
        <v>42</v>
      </c>
      <c r="G312" s="22" t="n">
        <v>0</v>
      </c>
      <c r="H312" s="22" t="n">
        <v>0</v>
      </c>
      <c r="I312" s="22" t="n">
        <v>75152</v>
      </c>
      <c r="J312" s="21" t="s">
        <v>147</v>
      </c>
      <c r="K312" s="13"/>
    </row>
    <row r="313" customFormat="false" ht="18.75" hidden="false" customHeight="true" outlineLevel="0" collapsed="false">
      <c r="A313" s="17" t="n">
        <v>309</v>
      </c>
      <c r="B313" s="17" t="n">
        <v>314</v>
      </c>
      <c r="C313" s="23" t="s">
        <v>372</v>
      </c>
      <c r="D313" s="18" t="s">
        <v>941</v>
      </c>
      <c r="E313" s="18" t="s">
        <v>373</v>
      </c>
      <c r="F313" s="9" t="s">
        <v>38</v>
      </c>
      <c r="G313" s="19" t="n">
        <v>0</v>
      </c>
      <c r="H313" s="19" t="n">
        <v>0</v>
      </c>
      <c r="I313" s="19" t="n">
        <v>105820.5</v>
      </c>
      <c r="J313" s="18" t="s">
        <v>147</v>
      </c>
      <c r="K313" s="9"/>
    </row>
    <row r="314" customFormat="false" ht="18.75" hidden="false" customHeight="true" outlineLevel="0" collapsed="false">
      <c r="A314" s="20" t="n">
        <v>310</v>
      </c>
      <c r="B314" s="20" t="n">
        <v>315</v>
      </c>
      <c r="C314" s="24" t="s">
        <v>687</v>
      </c>
      <c r="D314" s="21" t="s">
        <v>549</v>
      </c>
      <c r="E314" s="21" t="s">
        <v>391</v>
      </c>
      <c r="F314" s="13" t="s">
        <v>38</v>
      </c>
      <c r="G314" s="22" t="n">
        <v>100000</v>
      </c>
      <c r="H314" s="22" t="n">
        <v>0</v>
      </c>
      <c r="I314" s="22" t="n">
        <v>0</v>
      </c>
      <c r="J314" s="21" t="s">
        <v>147</v>
      </c>
      <c r="K314" s="13"/>
    </row>
    <row r="315" customFormat="false" ht="18.75" hidden="false" customHeight="true" outlineLevel="0" collapsed="false">
      <c r="A315" s="17" t="n">
        <v>311</v>
      </c>
      <c r="B315" s="17" t="n">
        <v>316</v>
      </c>
      <c r="C315" s="23" t="s">
        <v>688</v>
      </c>
      <c r="D315" s="18" t="s">
        <v>549</v>
      </c>
      <c r="E315" s="18" t="s">
        <v>395</v>
      </c>
      <c r="F315" s="9" t="s">
        <v>38</v>
      </c>
      <c r="G315" s="19" t="n">
        <v>100000</v>
      </c>
      <c r="H315" s="19" t="n">
        <v>0</v>
      </c>
      <c r="I315" s="19" t="n">
        <v>0</v>
      </c>
      <c r="J315" s="18" t="s">
        <v>147</v>
      </c>
      <c r="K315" s="9"/>
    </row>
    <row r="316" customFormat="false" ht="18.75" hidden="false" customHeight="true" outlineLevel="0" collapsed="false">
      <c r="A316" s="20" t="n">
        <v>312</v>
      </c>
      <c r="B316" s="20" t="n">
        <v>317</v>
      </c>
      <c r="C316" s="24" t="s">
        <v>375</v>
      </c>
      <c r="D316" s="21" t="s">
        <v>549</v>
      </c>
      <c r="E316" s="21" t="s">
        <v>397</v>
      </c>
      <c r="F316" s="13" t="s">
        <v>38</v>
      </c>
      <c r="G316" s="22" t="n">
        <v>100000</v>
      </c>
      <c r="H316" s="22" t="n">
        <v>0</v>
      </c>
      <c r="I316" s="22" t="n">
        <v>0</v>
      </c>
      <c r="J316" s="21" t="s">
        <v>147</v>
      </c>
      <c r="K316" s="13"/>
    </row>
    <row r="317" customFormat="false" ht="18.75" hidden="false" customHeight="true" outlineLevel="0" collapsed="false">
      <c r="A317" s="17" t="n">
        <v>313</v>
      </c>
      <c r="B317" s="17" t="n">
        <v>318</v>
      </c>
      <c r="C317" s="23" t="s">
        <v>375</v>
      </c>
      <c r="D317" s="18" t="s">
        <v>549</v>
      </c>
      <c r="E317" s="18" t="s">
        <v>399</v>
      </c>
      <c r="F317" s="9" t="s">
        <v>42</v>
      </c>
      <c r="G317" s="19" t="n">
        <v>20000</v>
      </c>
      <c r="H317" s="19" t="n">
        <v>0</v>
      </c>
      <c r="I317" s="19" t="n">
        <v>0</v>
      </c>
      <c r="J317" s="18" t="s">
        <v>147</v>
      </c>
      <c r="K317" s="9"/>
    </row>
    <row r="318" customFormat="false" ht="18.75" hidden="false" customHeight="true" outlineLevel="0" collapsed="false">
      <c r="A318" s="20" t="n">
        <v>314</v>
      </c>
      <c r="B318" s="20" t="n">
        <v>319</v>
      </c>
      <c r="C318" s="24" t="s">
        <v>375</v>
      </c>
      <c r="D318" s="21" t="s">
        <v>549</v>
      </c>
      <c r="E318" s="21" t="s">
        <v>404</v>
      </c>
      <c r="F318" s="13" t="s">
        <v>42</v>
      </c>
      <c r="G318" s="22" t="n">
        <v>45366</v>
      </c>
      <c r="H318" s="22" t="n">
        <v>0</v>
      </c>
      <c r="I318" s="22" t="n">
        <v>0</v>
      </c>
      <c r="J318" s="21" t="s">
        <v>147</v>
      </c>
      <c r="K318" s="13"/>
    </row>
    <row r="319" customFormat="false" ht="18.75" hidden="false" customHeight="true" outlineLevel="0" collapsed="false">
      <c r="A319" s="17" t="n">
        <v>315</v>
      </c>
      <c r="B319" s="17" t="n">
        <v>320</v>
      </c>
      <c r="C319" s="23" t="s">
        <v>375</v>
      </c>
      <c r="D319" s="18" t="s">
        <v>941</v>
      </c>
      <c r="E319" s="18" t="s">
        <v>374</v>
      </c>
      <c r="F319" s="9" t="s">
        <v>42</v>
      </c>
      <c r="G319" s="19" t="n">
        <v>0</v>
      </c>
      <c r="H319" s="19" t="n">
        <v>0</v>
      </c>
      <c r="I319" s="19" t="n">
        <v>23192.5</v>
      </c>
      <c r="J319" s="18" t="s">
        <v>147</v>
      </c>
      <c r="K319" s="9"/>
    </row>
    <row r="320" customFormat="false" ht="18.75" hidden="false" customHeight="true" outlineLevel="0" collapsed="false">
      <c r="A320" s="20" t="n">
        <v>316</v>
      </c>
      <c r="B320" s="20" t="n">
        <v>321</v>
      </c>
      <c r="C320" s="24" t="s">
        <v>377</v>
      </c>
      <c r="D320" s="21" t="s">
        <v>941</v>
      </c>
      <c r="E320" s="21" t="s">
        <v>376</v>
      </c>
      <c r="F320" s="13" t="s">
        <v>38</v>
      </c>
      <c r="G320" s="22" t="n">
        <v>0</v>
      </c>
      <c r="H320" s="22" t="n">
        <v>0</v>
      </c>
      <c r="I320" s="22" t="n">
        <v>52314.5</v>
      </c>
      <c r="J320" s="21" t="s">
        <v>147</v>
      </c>
      <c r="K320" s="13"/>
    </row>
    <row r="321" customFormat="false" ht="18.75" hidden="false" customHeight="true" outlineLevel="0" collapsed="false">
      <c r="A321" s="17" t="n">
        <v>317</v>
      </c>
      <c r="B321" s="17" t="n">
        <v>322</v>
      </c>
      <c r="C321" s="23" t="s">
        <v>689</v>
      </c>
      <c r="D321" s="18" t="s">
        <v>549</v>
      </c>
      <c r="E321" s="18" t="s">
        <v>401</v>
      </c>
      <c r="F321" s="9" t="s">
        <v>38</v>
      </c>
      <c r="G321" s="19" t="n">
        <v>20000</v>
      </c>
      <c r="H321" s="19" t="n">
        <v>0</v>
      </c>
      <c r="I321" s="19" t="n">
        <v>0</v>
      </c>
      <c r="J321" s="18" t="s">
        <v>90</v>
      </c>
      <c r="K321" s="9" t="s">
        <v>679</v>
      </c>
    </row>
    <row r="322" customFormat="false" ht="18.75" hidden="false" customHeight="true" outlineLevel="0" collapsed="false">
      <c r="A322" s="20" t="n">
        <v>318</v>
      </c>
      <c r="B322" s="20" t="n">
        <v>323</v>
      </c>
      <c r="C322" s="24" t="s">
        <v>690</v>
      </c>
      <c r="D322" s="21" t="s">
        <v>549</v>
      </c>
      <c r="E322" s="21" t="s">
        <v>406</v>
      </c>
      <c r="F322" s="13" t="s">
        <v>38</v>
      </c>
      <c r="G322" s="22" t="n">
        <v>50000</v>
      </c>
      <c r="H322" s="22" t="n">
        <v>0</v>
      </c>
      <c r="I322" s="22" t="n">
        <v>0</v>
      </c>
      <c r="J322" s="21" t="s">
        <v>90</v>
      </c>
      <c r="K322" s="13" t="s">
        <v>691</v>
      </c>
    </row>
    <row r="323" customFormat="false" ht="18.75" hidden="false" customHeight="true" outlineLevel="0" collapsed="false">
      <c r="A323" s="17" t="n">
        <v>319</v>
      </c>
      <c r="B323" s="17" t="n">
        <v>324</v>
      </c>
      <c r="C323" s="23" t="s">
        <v>690</v>
      </c>
      <c r="D323" s="18" t="s">
        <v>549</v>
      </c>
      <c r="E323" s="18" t="s">
        <v>408</v>
      </c>
      <c r="F323" s="9" t="s">
        <v>46</v>
      </c>
      <c r="G323" s="19" t="n">
        <v>20000</v>
      </c>
      <c r="H323" s="19" t="n">
        <v>0</v>
      </c>
      <c r="I323" s="19" t="n">
        <v>0</v>
      </c>
      <c r="J323" s="18" t="s">
        <v>147</v>
      </c>
      <c r="K323" s="9"/>
    </row>
    <row r="324" customFormat="false" ht="18.75" hidden="false" customHeight="true" outlineLevel="0" collapsed="false">
      <c r="A324" s="20" t="n">
        <v>320</v>
      </c>
      <c r="B324" s="20" t="n">
        <v>325</v>
      </c>
      <c r="C324" s="24" t="s">
        <v>379</v>
      </c>
      <c r="D324" s="21" t="s">
        <v>941</v>
      </c>
      <c r="E324" s="21" t="s">
        <v>378</v>
      </c>
      <c r="F324" s="13" t="s">
        <v>38</v>
      </c>
      <c r="G324" s="22" t="n">
        <v>0</v>
      </c>
      <c r="H324" s="22" t="n">
        <v>0</v>
      </c>
      <c r="I324" s="22" t="n">
        <v>70174.13</v>
      </c>
      <c r="J324" s="21" t="s">
        <v>147</v>
      </c>
      <c r="K324" s="13"/>
    </row>
    <row r="325" customFormat="false" ht="18.75" hidden="false" customHeight="true" outlineLevel="0" collapsed="false">
      <c r="A325" s="17" t="n">
        <v>321</v>
      </c>
      <c r="B325" s="17" t="n">
        <v>326</v>
      </c>
      <c r="C325" s="23" t="s">
        <v>692</v>
      </c>
      <c r="D325" s="18" t="s">
        <v>549</v>
      </c>
      <c r="E325" s="18" t="s">
        <v>410</v>
      </c>
      <c r="F325" s="9" t="s">
        <v>42</v>
      </c>
      <c r="G325" s="19" t="n">
        <v>50000</v>
      </c>
      <c r="H325" s="19" t="n">
        <v>0</v>
      </c>
      <c r="I325" s="19" t="n">
        <v>0</v>
      </c>
      <c r="J325" s="18" t="s">
        <v>147</v>
      </c>
      <c r="K325" s="9"/>
    </row>
    <row r="326" customFormat="false" ht="18.75" hidden="false" customHeight="true" outlineLevel="0" collapsed="false">
      <c r="A326" s="20" t="n">
        <v>322</v>
      </c>
      <c r="B326" s="20" t="n">
        <v>327</v>
      </c>
      <c r="C326" s="24" t="s">
        <v>692</v>
      </c>
      <c r="D326" s="21" t="s">
        <v>549</v>
      </c>
      <c r="E326" s="21" t="s">
        <v>412</v>
      </c>
      <c r="F326" s="13" t="s">
        <v>46</v>
      </c>
      <c r="G326" s="22" t="n">
        <v>20000</v>
      </c>
      <c r="H326" s="22" t="n">
        <v>0</v>
      </c>
      <c r="I326" s="22" t="n">
        <v>0</v>
      </c>
      <c r="J326" s="21" t="s">
        <v>147</v>
      </c>
      <c r="K326" s="13"/>
    </row>
    <row r="327" customFormat="false" ht="18.75" hidden="false" customHeight="true" outlineLevel="0" collapsed="false">
      <c r="A327" s="17" t="n">
        <v>323</v>
      </c>
      <c r="B327" s="17" t="n">
        <v>328</v>
      </c>
      <c r="C327" s="23" t="s">
        <v>693</v>
      </c>
      <c r="D327" s="18" t="s">
        <v>549</v>
      </c>
      <c r="E327" s="18" t="s">
        <v>414</v>
      </c>
      <c r="F327" s="9" t="s">
        <v>42</v>
      </c>
      <c r="G327" s="19" t="n">
        <v>25100</v>
      </c>
      <c r="H327" s="19" t="n">
        <v>0</v>
      </c>
      <c r="I327" s="19" t="n">
        <v>0</v>
      </c>
      <c r="J327" s="18" t="s">
        <v>147</v>
      </c>
      <c r="K327" s="9"/>
    </row>
    <row r="328" customFormat="false" ht="18.75" hidden="false" customHeight="true" outlineLevel="0" collapsed="false">
      <c r="A328" s="20" t="n">
        <v>324</v>
      </c>
      <c r="B328" s="20" t="n">
        <v>336</v>
      </c>
      <c r="C328" s="24" t="s">
        <v>381</v>
      </c>
      <c r="D328" s="21" t="s">
        <v>941</v>
      </c>
      <c r="E328" s="21" t="s">
        <v>380</v>
      </c>
      <c r="F328" s="13" t="s">
        <v>42</v>
      </c>
      <c r="G328" s="22" t="n">
        <v>0</v>
      </c>
      <c r="H328" s="22" t="n">
        <v>0</v>
      </c>
      <c r="I328" s="22" t="n">
        <v>30200</v>
      </c>
      <c r="J328" s="21" t="s">
        <v>147</v>
      </c>
      <c r="K328" s="13"/>
    </row>
    <row r="329" customFormat="false" ht="18.75" hidden="false" customHeight="true" outlineLevel="0" collapsed="false">
      <c r="A329" s="17" t="n">
        <v>325</v>
      </c>
      <c r="B329" s="17" t="n">
        <v>329</v>
      </c>
      <c r="C329" s="23" t="s">
        <v>694</v>
      </c>
      <c r="D329" s="18" t="s">
        <v>549</v>
      </c>
      <c r="E329" s="18" t="s">
        <v>416</v>
      </c>
      <c r="F329" s="9" t="s">
        <v>38</v>
      </c>
      <c r="G329" s="19" t="n">
        <v>100000</v>
      </c>
      <c r="H329" s="19" t="n">
        <v>0</v>
      </c>
      <c r="I329" s="19" t="n">
        <v>0</v>
      </c>
      <c r="J329" s="18" t="s">
        <v>147</v>
      </c>
      <c r="K329" s="9" t="s">
        <v>695</v>
      </c>
    </row>
    <row r="330" customFormat="false" ht="18.75" hidden="false" customHeight="true" outlineLevel="0" collapsed="false">
      <c r="A330" s="20" t="n">
        <v>326</v>
      </c>
      <c r="B330" s="20" t="n">
        <v>330</v>
      </c>
      <c r="C330" s="24" t="s">
        <v>694</v>
      </c>
      <c r="D330" s="21" t="s">
        <v>549</v>
      </c>
      <c r="E330" s="21" t="s">
        <v>418</v>
      </c>
      <c r="F330" s="13" t="s">
        <v>38</v>
      </c>
      <c r="G330" s="22" t="n">
        <v>100000</v>
      </c>
      <c r="H330" s="22" t="n">
        <v>0</v>
      </c>
      <c r="I330" s="22" t="n">
        <v>0</v>
      </c>
      <c r="J330" s="21" t="s">
        <v>147</v>
      </c>
      <c r="K330" s="13" t="s">
        <v>696</v>
      </c>
    </row>
    <row r="331" customFormat="false" ht="18.75" hidden="false" customHeight="true" outlineLevel="0" collapsed="false">
      <c r="A331" s="17" t="n">
        <v>327</v>
      </c>
      <c r="B331" s="17" t="n">
        <v>333</v>
      </c>
      <c r="C331" s="23" t="s">
        <v>383</v>
      </c>
      <c r="D331" s="18" t="s">
        <v>549</v>
      </c>
      <c r="E331" s="18" t="s">
        <v>420</v>
      </c>
      <c r="F331" s="9" t="s">
        <v>46</v>
      </c>
      <c r="G331" s="19" t="n">
        <v>15000</v>
      </c>
      <c r="H331" s="19" t="n">
        <v>0</v>
      </c>
      <c r="I331" s="19" t="n">
        <v>0</v>
      </c>
      <c r="J331" s="18" t="s">
        <v>147</v>
      </c>
      <c r="K331" s="9"/>
    </row>
    <row r="332" customFormat="false" ht="18.75" hidden="false" customHeight="true" outlineLevel="0" collapsed="false">
      <c r="A332" s="20" t="n">
        <v>328</v>
      </c>
      <c r="B332" s="20" t="n">
        <v>334</v>
      </c>
      <c r="C332" s="24" t="s">
        <v>383</v>
      </c>
      <c r="D332" s="21" t="s">
        <v>941</v>
      </c>
      <c r="E332" s="21" t="s">
        <v>382</v>
      </c>
      <c r="F332" s="13" t="s">
        <v>38</v>
      </c>
      <c r="G332" s="22" t="n">
        <v>0</v>
      </c>
      <c r="H332" s="22" t="n">
        <v>0</v>
      </c>
      <c r="I332" s="22" t="n">
        <v>23007</v>
      </c>
      <c r="J332" s="21" t="s">
        <v>147</v>
      </c>
      <c r="K332" s="13"/>
    </row>
    <row r="333" customFormat="false" ht="18.75" hidden="false" customHeight="true" outlineLevel="0" collapsed="false">
      <c r="A333" s="17" t="n">
        <v>329</v>
      </c>
      <c r="B333" s="17" t="n">
        <v>335</v>
      </c>
      <c r="C333" s="23" t="s">
        <v>697</v>
      </c>
      <c r="D333" s="18" t="s">
        <v>549</v>
      </c>
      <c r="E333" s="18" t="s">
        <v>422</v>
      </c>
      <c r="F333" s="9" t="s">
        <v>38</v>
      </c>
      <c r="G333" s="19" t="n">
        <v>30000</v>
      </c>
      <c r="H333" s="19" t="n">
        <v>0</v>
      </c>
      <c r="I333" s="19" t="n">
        <v>0</v>
      </c>
      <c r="J333" s="18" t="s">
        <v>147</v>
      </c>
      <c r="K333" s="9"/>
    </row>
    <row r="334" customFormat="false" ht="18.75" hidden="false" customHeight="true" outlineLevel="0" collapsed="false">
      <c r="A334" s="20" t="n">
        <v>330</v>
      </c>
      <c r="B334" s="20" t="n">
        <v>337</v>
      </c>
      <c r="C334" s="24" t="s">
        <v>698</v>
      </c>
      <c r="D334" s="21" t="s">
        <v>549</v>
      </c>
      <c r="E334" s="21" t="s">
        <v>424</v>
      </c>
      <c r="F334" s="13" t="s">
        <v>42</v>
      </c>
      <c r="G334" s="22" t="n">
        <v>23192</v>
      </c>
      <c r="H334" s="22" t="n">
        <v>0</v>
      </c>
      <c r="I334" s="22" t="n">
        <v>0</v>
      </c>
      <c r="J334" s="21" t="s">
        <v>147</v>
      </c>
      <c r="K334" s="13"/>
    </row>
    <row r="335" customFormat="false" ht="18.75" hidden="false" customHeight="true" outlineLevel="0" collapsed="false">
      <c r="A335" s="17" t="n">
        <v>331</v>
      </c>
      <c r="B335" s="17" t="n">
        <v>338</v>
      </c>
      <c r="C335" s="23" t="s">
        <v>385</v>
      </c>
      <c r="D335" s="18" t="s">
        <v>941</v>
      </c>
      <c r="E335" s="18" t="s">
        <v>384</v>
      </c>
      <c r="F335" s="9" t="s">
        <v>38</v>
      </c>
      <c r="G335" s="19" t="n">
        <v>0</v>
      </c>
      <c r="H335" s="19" t="n">
        <v>0</v>
      </c>
      <c r="I335" s="19" t="n">
        <v>103329.38</v>
      </c>
      <c r="J335" s="18" t="s">
        <v>147</v>
      </c>
      <c r="K335" s="9"/>
    </row>
    <row r="336" customFormat="false" ht="18.75" hidden="false" customHeight="true" outlineLevel="0" collapsed="false">
      <c r="A336" s="20" t="n">
        <v>332</v>
      </c>
      <c r="B336" s="20" t="n">
        <v>339</v>
      </c>
      <c r="C336" s="24" t="s">
        <v>699</v>
      </c>
      <c r="D336" s="21" t="s">
        <v>549</v>
      </c>
      <c r="E336" s="21" t="s">
        <v>426</v>
      </c>
      <c r="F336" s="13" t="s">
        <v>42</v>
      </c>
      <c r="G336" s="22" t="n">
        <v>30200</v>
      </c>
      <c r="H336" s="22" t="n">
        <v>0</v>
      </c>
      <c r="I336" s="22" t="n">
        <v>0</v>
      </c>
      <c r="J336" s="21" t="s">
        <v>147</v>
      </c>
      <c r="K336" s="13"/>
    </row>
    <row r="337" customFormat="false" ht="18.75" hidden="false" customHeight="true" outlineLevel="0" collapsed="false">
      <c r="A337" s="17" t="n">
        <v>333</v>
      </c>
      <c r="B337" s="17" t="n">
        <v>340</v>
      </c>
      <c r="C337" s="23" t="s">
        <v>387</v>
      </c>
      <c r="D337" s="18" t="s">
        <v>941</v>
      </c>
      <c r="E337" s="18" t="s">
        <v>386</v>
      </c>
      <c r="F337" s="9" t="s">
        <v>38</v>
      </c>
      <c r="G337" s="19" t="n">
        <v>0</v>
      </c>
      <c r="H337" s="19" t="n">
        <v>0</v>
      </c>
      <c r="I337" s="19" t="n">
        <v>102683.5</v>
      </c>
      <c r="J337" s="18" t="s">
        <v>147</v>
      </c>
      <c r="K337" s="9"/>
    </row>
    <row r="338" customFormat="false" ht="18.75" hidden="false" customHeight="true" outlineLevel="0" collapsed="false">
      <c r="A338" s="20" t="n">
        <v>334</v>
      </c>
      <c r="B338" s="20" t="n">
        <v>341</v>
      </c>
      <c r="C338" s="24" t="s">
        <v>389</v>
      </c>
      <c r="D338" s="21" t="s">
        <v>941</v>
      </c>
      <c r="E338" s="21" t="s">
        <v>388</v>
      </c>
      <c r="F338" s="13" t="s">
        <v>42</v>
      </c>
      <c r="G338" s="22" t="n">
        <v>0</v>
      </c>
      <c r="H338" s="22" t="n">
        <v>0</v>
      </c>
      <c r="I338" s="22" t="n">
        <v>74473.63</v>
      </c>
      <c r="J338" s="21" t="s">
        <v>147</v>
      </c>
      <c r="K338" s="13"/>
    </row>
    <row r="339" customFormat="false" ht="18.75" hidden="false" customHeight="true" outlineLevel="0" collapsed="false">
      <c r="A339" s="17" t="n">
        <v>335</v>
      </c>
      <c r="B339" s="17" t="n">
        <v>342</v>
      </c>
      <c r="C339" s="23" t="s">
        <v>389</v>
      </c>
      <c r="D339" s="18" t="s">
        <v>941</v>
      </c>
      <c r="E339" s="18" t="s">
        <v>390</v>
      </c>
      <c r="F339" s="9" t="s">
        <v>42</v>
      </c>
      <c r="G339" s="19" t="n">
        <v>0</v>
      </c>
      <c r="H339" s="19" t="n">
        <v>0</v>
      </c>
      <c r="I339" s="19" t="n">
        <v>15600</v>
      </c>
      <c r="J339" s="18" t="s">
        <v>147</v>
      </c>
      <c r="K339" s="9"/>
    </row>
    <row r="340" customFormat="false" ht="18.75" hidden="false" customHeight="true" outlineLevel="0" collapsed="false">
      <c r="A340" s="20" t="n">
        <v>336</v>
      </c>
      <c r="B340" s="20" t="n">
        <v>343</v>
      </c>
      <c r="C340" s="24" t="s">
        <v>700</v>
      </c>
      <c r="D340" s="21" t="s">
        <v>549</v>
      </c>
      <c r="E340" s="21" t="s">
        <v>428</v>
      </c>
      <c r="F340" s="13" t="s">
        <v>42</v>
      </c>
      <c r="G340" s="22" t="n">
        <v>15600</v>
      </c>
      <c r="H340" s="22" t="n">
        <v>0</v>
      </c>
      <c r="I340" s="22" t="n">
        <v>0</v>
      </c>
      <c r="J340" s="21" t="s">
        <v>147</v>
      </c>
      <c r="K340" s="13"/>
    </row>
    <row r="341" customFormat="false" ht="18.75" hidden="false" customHeight="true" outlineLevel="0" collapsed="false">
      <c r="A341" s="17" t="n">
        <v>337</v>
      </c>
      <c r="B341" s="17" t="n">
        <v>345</v>
      </c>
      <c r="C341" s="23" t="s">
        <v>392</v>
      </c>
      <c r="D341" s="18" t="s">
        <v>941</v>
      </c>
      <c r="E341" s="18" t="s">
        <v>391</v>
      </c>
      <c r="F341" s="9" t="s">
        <v>38</v>
      </c>
      <c r="G341" s="19" t="n">
        <v>0</v>
      </c>
      <c r="H341" s="19" t="n">
        <v>0</v>
      </c>
      <c r="I341" s="19" t="n">
        <v>72000</v>
      </c>
      <c r="J341" s="18" t="s">
        <v>147</v>
      </c>
      <c r="K341" s="9"/>
    </row>
    <row r="342" customFormat="false" ht="18.75" hidden="false" customHeight="true" outlineLevel="0" collapsed="false">
      <c r="A342" s="20" t="n">
        <v>338</v>
      </c>
      <c r="B342" s="20" t="n">
        <v>344</v>
      </c>
      <c r="C342" s="24" t="s">
        <v>394</v>
      </c>
      <c r="D342" s="21" t="s">
        <v>941</v>
      </c>
      <c r="E342" s="21" t="s">
        <v>393</v>
      </c>
      <c r="F342" s="13" t="s">
        <v>38</v>
      </c>
      <c r="G342" s="22" t="n">
        <v>0</v>
      </c>
      <c r="H342" s="22" t="n">
        <v>0</v>
      </c>
      <c r="I342" s="22" t="n">
        <v>95500</v>
      </c>
      <c r="J342" s="21" t="s">
        <v>147</v>
      </c>
      <c r="K342" s="13"/>
    </row>
    <row r="343" customFormat="false" ht="18.75" hidden="false" customHeight="true" outlineLevel="0" collapsed="false">
      <c r="A343" s="17" t="n">
        <v>339</v>
      </c>
      <c r="B343" s="17" t="n">
        <v>346</v>
      </c>
      <c r="C343" s="23" t="s">
        <v>396</v>
      </c>
      <c r="D343" s="18" t="s">
        <v>941</v>
      </c>
      <c r="E343" s="18" t="s">
        <v>395</v>
      </c>
      <c r="F343" s="9" t="s">
        <v>38</v>
      </c>
      <c r="G343" s="19" t="n">
        <v>0</v>
      </c>
      <c r="H343" s="19" t="n">
        <v>0</v>
      </c>
      <c r="I343" s="19" t="n">
        <v>140264</v>
      </c>
      <c r="J343" s="18" t="s">
        <v>147</v>
      </c>
      <c r="K343" s="9"/>
    </row>
    <row r="344" customFormat="false" ht="18.75" hidden="false" customHeight="true" outlineLevel="0" collapsed="false">
      <c r="A344" s="20" t="n">
        <v>340</v>
      </c>
      <c r="B344" s="20" t="n">
        <v>347</v>
      </c>
      <c r="C344" s="24" t="s">
        <v>701</v>
      </c>
      <c r="D344" s="21" t="s">
        <v>549</v>
      </c>
      <c r="E344" s="21" t="s">
        <v>431</v>
      </c>
      <c r="F344" s="13" t="s">
        <v>46</v>
      </c>
      <c r="G344" s="22" t="n">
        <v>2000</v>
      </c>
      <c r="H344" s="22" t="n">
        <v>0</v>
      </c>
      <c r="I344" s="22" t="n">
        <v>0</v>
      </c>
      <c r="J344" s="21" t="s">
        <v>147</v>
      </c>
      <c r="K344" s="13" t="s">
        <v>702</v>
      </c>
    </row>
    <row r="345" customFormat="false" ht="18.75" hidden="false" customHeight="true" outlineLevel="0" collapsed="false">
      <c r="A345" s="17" t="n">
        <v>341</v>
      </c>
      <c r="B345" s="17" t="n">
        <v>348</v>
      </c>
      <c r="C345" s="23" t="s">
        <v>398</v>
      </c>
      <c r="D345" s="18" t="s">
        <v>941</v>
      </c>
      <c r="E345" s="18" t="s">
        <v>397</v>
      </c>
      <c r="F345" s="9" t="s">
        <v>38</v>
      </c>
      <c r="G345" s="19" t="n">
        <v>0</v>
      </c>
      <c r="H345" s="19" t="n">
        <v>0</v>
      </c>
      <c r="I345" s="19" t="n">
        <v>148800</v>
      </c>
      <c r="J345" s="18" t="s">
        <v>147</v>
      </c>
      <c r="K345" s="9"/>
    </row>
    <row r="346" customFormat="false" ht="18.75" hidden="false" customHeight="true" outlineLevel="0" collapsed="false">
      <c r="A346" s="20" t="n">
        <v>342</v>
      </c>
      <c r="B346" s="20" t="n">
        <v>349</v>
      </c>
      <c r="C346" s="24" t="s">
        <v>703</v>
      </c>
      <c r="D346" s="21" t="s">
        <v>549</v>
      </c>
      <c r="E346" s="21" t="s">
        <v>433</v>
      </c>
      <c r="F346" s="13" t="s">
        <v>38</v>
      </c>
      <c r="G346" s="22" t="n">
        <v>30000</v>
      </c>
      <c r="H346" s="22" t="n">
        <v>0</v>
      </c>
      <c r="I346" s="22" t="n">
        <v>0</v>
      </c>
      <c r="J346" s="21" t="s">
        <v>147</v>
      </c>
      <c r="K346" s="13" t="s">
        <v>704</v>
      </c>
    </row>
    <row r="347" customFormat="false" ht="18.75" hidden="false" customHeight="true" outlineLevel="0" collapsed="false">
      <c r="A347" s="17" t="n">
        <v>343</v>
      </c>
      <c r="B347" s="17" t="n">
        <v>352</v>
      </c>
      <c r="C347" s="23" t="s">
        <v>400</v>
      </c>
      <c r="D347" s="18" t="s">
        <v>941</v>
      </c>
      <c r="E347" s="18" t="s">
        <v>399</v>
      </c>
      <c r="F347" s="9" t="s">
        <v>38</v>
      </c>
      <c r="G347" s="19" t="n">
        <v>0</v>
      </c>
      <c r="H347" s="19" t="n">
        <v>0</v>
      </c>
      <c r="I347" s="19" t="n">
        <v>99088</v>
      </c>
      <c r="J347" s="18" t="s">
        <v>147</v>
      </c>
      <c r="K347" s="9"/>
    </row>
    <row r="348" customFormat="false" ht="18.75" hidden="false" customHeight="true" outlineLevel="0" collapsed="false">
      <c r="A348" s="20" t="n">
        <v>344</v>
      </c>
      <c r="B348" s="20" t="n">
        <v>350</v>
      </c>
      <c r="C348" s="24" t="s">
        <v>705</v>
      </c>
      <c r="D348" s="21" t="s">
        <v>549</v>
      </c>
      <c r="E348" s="21" t="s">
        <v>435</v>
      </c>
      <c r="F348" s="13" t="s">
        <v>38</v>
      </c>
      <c r="G348" s="22" t="n">
        <v>100000</v>
      </c>
      <c r="H348" s="22" t="n">
        <v>0</v>
      </c>
      <c r="I348" s="22" t="n">
        <v>0</v>
      </c>
      <c r="J348" s="21" t="s">
        <v>147</v>
      </c>
      <c r="K348" s="13" t="s">
        <v>706</v>
      </c>
    </row>
    <row r="349" customFormat="false" ht="18.75" hidden="false" customHeight="true" outlineLevel="0" collapsed="false">
      <c r="A349" s="17" t="n">
        <v>345</v>
      </c>
      <c r="B349" s="17" t="n">
        <v>351</v>
      </c>
      <c r="C349" s="23" t="s">
        <v>705</v>
      </c>
      <c r="D349" s="18" t="s">
        <v>549</v>
      </c>
      <c r="E349" s="18" t="s">
        <v>707</v>
      </c>
      <c r="F349" s="9" t="s">
        <v>38</v>
      </c>
      <c r="G349" s="19" t="n">
        <v>15390</v>
      </c>
      <c r="H349" s="19" t="n">
        <v>0</v>
      </c>
      <c r="I349" s="19" t="n">
        <v>0</v>
      </c>
      <c r="J349" s="18" t="s">
        <v>147</v>
      </c>
      <c r="K349" s="9" t="s">
        <v>708</v>
      </c>
    </row>
    <row r="350" customFormat="false" ht="18.75" hidden="false" customHeight="true" outlineLevel="0" collapsed="false">
      <c r="A350" s="20" t="n">
        <v>346</v>
      </c>
      <c r="B350" s="20" t="n">
        <v>356</v>
      </c>
      <c r="C350" s="24" t="s">
        <v>402</v>
      </c>
      <c r="D350" s="21" t="s">
        <v>941</v>
      </c>
      <c r="E350" s="21" t="s">
        <v>401</v>
      </c>
      <c r="F350" s="13" t="s">
        <v>38</v>
      </c>
      <c r="G350" s="22" t="n">
        <v>0</v>
      </c>
      <c r="H350" s="22" t="n">
        <v>0</v>
      </c>
      <c r="I350" s="22" t="n">
        <v>25500</v>
      </c>
      <c r="J350" s="21" t="s">
        <v>147</v>
      </c>
      <c r="K350" s="13" t="s">
        <v>403</v>
      </c>
    </row>
    <row r="351" customFormat="false" ht="18.75" hidden="false" customHeight="true" outlineLevel="0" collapsed="false">
      <c r="A351" s="17" t="n">
        <v>347</v>
      </c>
      <c r="B351" s="17" t="n">
        <v>353</v>
      </c>
      <c r="C351" s="23" t="s">
        <v>710</v>
      </c>
      <c r="D351" s="18" t="s">
        <v>549</v>
      </c>
      <c r="E351" s="18" t="s">
        <v>709</v>
      </c>
      <c r="F351" s="9" t="s">
        <v>42</v>
      </c>
      <c r="G351" s="19" t="n">
        <v>50000</v>
      </c>
      <c r="H351" s="19" t="n">
        <v>0</v>
      </c>
      <c r="I351" s="19" t="n">
        <v>0</v>
      </c>
      <c r="J351" s="18" t="s">
        <v>147</v>
      </c>
      <c r="K351" s="9" t="s">
        <v>711</v>
      </c>
    </row>
    <row r="352" customFormat="false" ht="18.75" hidden="false" customHeight="true" outlineLevel="0" collapsed="false">
      <c r="A352" s="20" t="n">
        <v>348</v>
      </c>
      <c r="B352" s="20" t="n">
        <v>354</v>
      </c>
      <c r="C352" s="24" t="s">
        <v>405</v>
      </c>
      <c r="D352" s="21" t="s">
        <v>941</v>
      </c>
      <c r="E352" s="21" t="s">
        <v>404</v>
      </c>
      <c r="F352" s="13" t="s">
        <v>38</v>
      </c>
      <c r="G352" s="22" t="n">
        <v>0</v>
      </c>
      <c r="H352" s="22" t="n">
        <v>0</v>
      </c>
      <c r="I352" s="22" t="n">
        <v>48800</v>
      </c>
      <c r="J352" s="21" t="s">
        <v>147</v>
      </c>
      <c r="K352" s="13"/>
    </row>
    <row r="353" customFormat="false" ht="18.75" hidden="false" customHeight="true" outlineLevel="0" collapsed="false">
      <c r="A353" s="17" t="n">
        <v>349</v>
      </c>
      <c r="B353" s="17" t="n">
        <v>355</v>
      </c>
      <c r="C353" s="23" t="s">
        <v>405</v>
      </c>
      <c r="D353" s="18" t="s">
        <v>549</v>
      </c>
      <c r="E353" s="18" t="s">
        <v>712</v>
      </c>
      <c r="F353" s="9" t="s">
        <v>38</v>
      </c>
      <c r="G353" s="19" t="n">
        <v>50000</v>
      </c>
      <c r="H353" s="19" t="n">
        <v>0</v>
      </c>
      <c r="I353" s="19" t="n">
        <v>0</v>
      </c>
      <c r="J353" s="18" t="s">
        <v>147</v>
      </c>
      <c r="K353" s="9" t="s">
        <v>713</v>
      </c>
    </row>
    <row r="354" customFormat="false" ht="18.75" hidden="false" customHeight="true" outlineLevel="0" collapsed="false">
      <c r="A354" s="20" t="n">
        <v>350</v>
      </c>
      <c r="B354" s="20" t="n">
        <v>357</v>
      </c>
      <c r="C354" s="24" t="s">
        <v>407</v>
      </c>
      <c r="D354" s="21" t="s">
        <v>549</v>
      </c>
      <c r="E354" s="21" t="s">
        <v>714</v>
      </c>
      <c r="F354" s="13" t="s">
        <v>38</v>
      </c>
      <c r="G354" s="22" t="n">
        <v>25000</v>
      </c>
      <c r="H354" s="22" t="n">
        <v>0</v>
      </c>
      <c r="I354" s="22" t="n">
        <v>0</v>
      </c>
      <c r="J354" s="21" t="s">
        <v>147</v>
      </c>
      <c r="K354" s="13" t="s">
        <v>706</v>
      </c>
    </row>
    <row r="355" customFormat="false" ht="18.75" hidden="false" customHeight="true" outlineLevel="0" collapsed="false">
      <c r="A355" s="17" t="n">
        <v>351</v>
      </c>
      <c r="B355" s="17" t="n">
        <v>358</v>
      </c>
      <c r="C355" s="23" t="s">
        <v>407</v>
      </c>
      <c r="D355" s="18" t="s">
        <v>941</v>
      </c>
      <c r="E355" s="18" t="s">
        <v>406</v>
      </c>
      <c r="F355" s="9" t="s">
        <v>38</v>
      </c>
      <c r="G355" s="19" t="n">
        <v>0</v>
      </c>
      <c r="H355" s="19" t="n">
        <v>0</v>
      </c>
      <c r="I355" s="19" t="n">
        <v>17158</v>
      </c>
      <c r="J355" s="18" t="s">
        <v>147</v>
      </c>
      <c r="K355" s="9"/>
    </row>
    <row r="356" customFormat="false" ht="18.75" hidden="false" customHeight="true" outlineLevel="0" collapsed="false">
      <c r="A356" s="20" t="n">
        <v>352</v>
      </c>
      <c r="B356" s="20" t="n">
        <v>359</v>
      </c>
      <c r="C356" s="24" t="s">
        <v>409</v>
      </c>
      <c r="D356" s="21" t="s">
        <v>549</v>
      </c>
      <c r="E356" s="21" t="s">
        <v>715</v>
      </c>
      <c r="F356" s="13" t="s">
        <v>38</v>
      </c>
      <c r="G356" s="22" t="n">
        <v>22000</v>
      </c>
      <c r="H356" s="22" t="n">
        <v>0</v>
      </c>
      <c r="I356" s="22" t="n">
        <v>0</v>
      </c>
      <c r="J356" s="21" t="s">
        <v>90</v>
      </c>
      <c r="K356" s="13" t="s">
        <v>716</v>
      </c>
    </row>
    <row r="357" customFormat="false" ht="18.75" hidden="false" customHeight="true" outlineLevel="0" collapsed="false">
      <c r="A357" s="17" t="n">
        <v>353</v>
      </c>
      <c r="B357" s="17" t="n">
        <v>360</v>
      </c>
      <c r="C357" s="23" t="s">
        <v>409</v>
      </c>
      <c r="D357" s="18" t="s">
        <v>941</v>
      </c>
      <c r="E357" s="18" t="s">
        <v>408</v>
      </c>
      <c r="F357" s="9" t="s">
        <v>38</v>
      </c>
      <c r="G357" s="19" t="n">
        <v>0</v>
      </c>
      <c r="H357" s="19" t="n">
        <v>0</v>
      </c>
      <c r="I357" s="19" t="n">
        <v>99255</v>
      </c>
      <c r="J357" s="18" t="s">
        <v>147</v>
      </c>
      <c r="K357" s="9"/>
    </row>
    <row r="358" customFormat="false" ht="18.75" hidden="false" customHeight="true" outlineLevel="0" collapsed="false">
      <c r="A358" s="20" t="n">
        <v>354</v>
      </c>
      <c r="B358" s="20" t="n">
        <v>361</v>
      </c>
      <c r="C358" s="24" t="s">
        <v>718</v>
      </c>
      <c r="D358" s="21" t="s">
        <v>549</v>
      </c>
      <c r="E358" s="21" t="s">
        <v>717</v>
      </c>
      <c r="F358" s="13" t="s">
        <v>38</v>
      </c>
      <c r="G358" s="22" t="n">
        <v>100000</v>
      </c>
      <c r="H358" s="22" t="n">
        <v>0</v>
      </c>
      <c r="I358" s="22" t="n">
        <v>0</v>
      </c>
      <c r="J358" s="21" t="s">
        <v>719</v>
      </c>
      <c r="K358" s="13" t="s">
        <v>720</v>
      </c>
    </row>
    <row r="359" customFormat="false" ht="18.75" hidden="false" customHeight="true" outlineLevel="0" collapsed="false">
      <c r="A359" s="17" t="n">
        <v>355</v>
      </c>
      <c r="B359" s="17" t="n">
        <v>362</v>
      </c>
      <c r="C359" s="23" t="s">
        <v>722</v>
      </c>
      <c r="D359" s="18" t="s">
        <v>549</v>
      </c>
      <c r="E359" s="18" t="s">
        <v>721</v>
      </c>
      <c r="F359" s="9" t="s">
        <v>38</v>
      </c>
      <c r="G359" s="19" t="n">
        <v>60000</v>
      </c>
      <c r="H359" s="19" t="n">
        <v>0</v>
      </c>
      <c r="I359" s="19" t="n">
        <v>0</v>
      </c>
      <c r="J359" s="18" t="s">
        <v>719</v>
      </c>
      <c r="K359" s="9" t="s">
        <v>723</v>
      </c>
    </row>
    <row r="360" customFormat="false" ht="18.75" hidden="false" customHeight="true" outlineLevel="0" collapsed="false">
      <c r="A360" s="20" t="n">
        <v>356</v>
      </c>
      <c r="B360" s="20" t="n">
        <v>363</v>
      </c>
      <c r="C360" s="24" t="s">
        <v>725</v>
      </c>
      <c r="D360" s="21" t="s">
        <v>549</v>
      </c>
      <c r="E360" s="21" t="s">
        <v>724</v>
      </c>
      <c r="F360" s="13" t="s">
        <v>38</v>
      </c>
      <c r="G360" s="22" t="n">
        <v>55000</v>
      </c>
      <c r="H360" s="22" t="n">
        <v>0</v>
      </c>
      <c r="I360" s="22" t="n">
        <v>0</v>
      </c>
      <c r="J360" s="21" t="s">
        <v>90</v>
      </c>
      <c r="K360" s="13" t="s">
        <v>726</v>
      </c>
    </row>
    <row r="361" customFormat="false" ht="18.75" hidden="false" customHeight="true" outlineLevel="0" collapsed="false">
      <c r="A361" s="17" t="n">
        <v>357</v>
      </c>
      <c r="B361" s="17" t="n">
        <v>364</v>
      </c>
      <c r="C361" s="23" t="s">
        <v>725</v>
      </c>
      <c r="D361" s="18" t="s">
        <v>549</v>
      </c>
      <c r="E361" s="18" t="s">
        <v>727</v>
      </c>
      <c r="F361" s="9" t="s">
        <v>42</v>
      </c>
      <c r="G361" s="19" t="n">
        <v>20000</v>
      </c>
      <c r="H361" s="19" t="n">
        <v>0</v>
      </c>
      <c r="I361" s="19" t="n">
        <v>0</v>
      </c>
      <c r="J361" s="18" t="s">
        <v>147</v>
      </c>
      <c r="K361" s="9"/>
    </row>
    <row r="362" customFormat="false" ht="18.75" hidden="false" customHeight="true" outlineLevel="0" collapsed="false">
      <c r="A362" s="20" t="n">
        <v>358</v>
      </c>
      <c r="B362" s="20" t="n">
        <v>365</v>
      </c>
      <c r="C362" s="24" t="s">
        <v>411</v>
      </c>
      <c r="D362" s="21" t="s">
        <v>941</v>
      </c>
      <c r="E362" s="21" t="s">
        <v>410</v>
      </c>
      <c r="F362" s="13" t="s">
        <v>42</v>
      </c>
      <c r="G362" s="22" t="n">
        <v>0</v>
      </c>
      <c r="H362" s="22" t="n">
        <v>0</v>
      </c>
      <c r="I362" s="22" t="n">
        <v>54830</v>
      </c>
      <c r="J362" s="21" t="s">
        <v>147</v>
      </c>
      <c r="K362" s="13"/>
    </row>
    <row r="363" customFormat="false" ht="18.75" hidden="false" customHeight="true" outlineLevel="0" collapsed="false">
      <c r="A363" s="17" t="n">
        <v>359</v>
      </c>
      <c r="B363" s="17" t="n">
        <v>366</v>
      </c>
      <c r="C363" s="23" t="s">
        <v>413</v>
      </c>
      <c r="D363" s="18" t="s">
        <v>941</v>
      </c>
      <c r="E363" s="18" t="s">
        <v>412</v>
      </c>
      <c r="F363" s="9" t="s">
        <v>38</v>
      </c>
      <c r="G363" s="19" t="n">
        <v>0</v>
      </c>
      <c r="H363" s="19" t="n">
        <v>0</v>
      </c>
      <c r="I363" s="19" t="n">
        <v>114344.38</v>
      </c>
      <c r="J363" s="18" t="s">
        <v>147</v>
      </c>
      <c r="K363" s="9"/>
    </row>
    <row r="364" customFormat="false" ht="18.75" hidden="false" customHeight="true" outlineLevel="0" collapsed="false">
      <c r="A364" s="20" t="n">
        <v>360</v>
      </c>
      <c r="B364" s="20" t="n">
        <v>367</v>
      </c>
      <c r="C364" s="24" t="s">
        <v>729</v>
      </c>
      <c r="D364" s="21" t="s">
        <v>549</v>
      </c>
      <c r="E364" s="21" t="s">
        <v>728</v>
      </c>
      <c r="F364" s="13" t="s">
        <v>38</v>
      </c>
      <c r="G364" s="22" t="n">
        <v>21500</v>
      </c>
      <c r="H364" s="22" t="n">
        <v>0</v>
      </c>
      <c r="I364" s="22" t="n">
        <v>0</v>
      </c>
      <c r="J364" s="21" t="s">
        <v>719</v>
      </c>
      <c r="K364" s="13" t="s">
        <v>730</v>
      </c>
    </row>
    <row r="365" customFormat="false" ht="18.75" hidden="false" customHeight="true" outlineLevel="0" collapsed="false">
      <c r="A365" s="17" t="n">
        <v>361</v>
      </c>
      <c r="B365" s="17" t="n">
        <v>368</v>
      </c>
      <c r="C365" s="23" t="s">
        <v>729</v>
      </c>
      <c r="D365" s="18" t="s">
        <v>549</v>
      </c>
      <c r="E365" s="18" t="s">
        <v>731</v>
      </c>
      <c r="F365" s="9" t="s">
        <v>38</v>
      </c>
      <c r="G365" s="19" t="n">
        <v>20000</v>
      </c>
      <c r="H365" s="19" t="n">
        <v>0</v>
      </c>
      <c r="I365" s="19" t="n">
        <v>0</v>
      </c>
      <c r="J365" s="18" t="s">
        <v>90</v>
      </c>
      <c r="K365" s="9" t="s">
        <v>726</v>
      </c>
    </row>
    <row r="366" customFormat="false" ht="18.75" hidden="false" customHeight="true" outlineLevel="0" collapsed="false">
      <c r="A366" s="20" t="n">
        <v>362</v>
      </c>
      <c r="B366" s="20" t="n">
        <v>369</v>
      </c>
      <c r="C366" s="24" t="s">
        <v>733</v>
      </c>
      <c r="D366" s="21" t="s">
        <v>549</v>
      </c>
      <c r="E366" s="21" t="s">
        <v>732</v>
      </c>
      <c r="F366" s="13" t="s">
        <v>38</v>
      </c>
      <c r="G366" s="22" t="n">
        <v>100000</v>
      </c>
      <c r="H366" s="22" t="n">
        <v>0</v>
      </c>
      <c r="I366" s="22" t="n">
        <v>0</v>
      </c>
      <c r="J366" s="21" t="s">
        <v>147</v>
      </c>
      <c r="K366" s="13" t="s">
        <v>734</v>
      </c>
    </row>
    <row r="367" customFormat="false" ht="18.75" hidden="false" customHeight="true" outlineLevel="0" collapsed="false">
      <c r="A367" s="17" t="n">
        <v>363</v>
      </c>
      <c r="B367" s="17" t="n">
        <v>370</v>
      </c>
      <c r="C367" s="23" t="s">
        <v>736</v>
      </c>
      <c r="D367" s="18" t="s">
        <v>549</v>
      </c>
      <c r="E367" s="18" t="s">
        <v>735</v>
      </c>
      <c r="F367" s="9" t="s">
        <v>38</v>
      </c>
      <c r="G367" s="19" t="n">
        <v>40500</v>
      </c>
      <c r="H367" s="19" t="n">
        <v>0</v>
      </c>
      <c r="I367" s="19" t="n">
        <v>0</v>
      </c>
      <c r="J367" s="18" t="s">
        <v>90</v>
      </c>
      <c r="K367" s="9" t="s">
        <v>679</v>
      </c>
    </row>
    <row r="368" customFormat="false" ht="18.75" hidden="false" customHeight="true" outlineLevel="0" collapsed="false">
      <c r="A368" s="20" t="n">
        <v>364</v>
      </c>
      <c r="B368" s="20" t="n">
        <v>371</v>
      </c>
      <c r="C368" s="24" t="s">
        <v>415</v>
      </c>
      <c r="D368" s="21" t="s">
        <v>941</v>
      </c>
      <c r="E368" s="21" t="s">
        <v>414</v>
      </c>
      <c r="F368" s="13" t="s">
        <v>38</v>
      </c>
      <c r="G368" s="22" t="n">
        <v>0</v>
      </c>
      <c r="H368" s="22" t="n">
        <v>0</v>
      </c>
      <c r="I368" s="22" t="n">
        <v>124616.25</v>
      </c>
      <c r="J368" s="21" t="s">
        <v>147</v>
      </c>
      <c r="K368" s="13"/>
    </row>
    <row r="369" customFormat="false" ht="18.75" hidden="false" customHeight="true" outlineLevel="0" collapsed="false">
      <c r="A369" s="17" t="n">
        <v>365</v>
      </c>
      <c r="B369" s="17" t="n">
        <v>372</v>
      </c>
      <c r="C369" s="23" t="s">
        <v>417</v>
      </c>
      <c r="D369" s="18" t="s">
        <v>549</v>
      </c>
      <c r="E369" s="18" t="s">
        <v>737</v>
      </c>
      <c r="F369" s="9" t="s">
        <v>38</v>
      </c>
      <c r="G369" s="19" t="n">
        <v>15000</v>
      </c>
      <c r="H369" s="19" t="n">
        <v>0</v>
      </c>
      <c r="I369" s="19" t="n">
        <v>0</v>
      </c>
      <c r="J369" s="18" t="s">
        <v>90</v>
      </c>
      <c r="K369" s="9" t="s">
        <v>738</v>
      </c>
    </row>
    <row r="370" customFormat="false" ht="18.75" hidden="false" customHeight="true" outlineLevel="0" collapsed="false">
      <c r="A370" s="20" t="n">
        <v>366</v>
      </c>
      <c r="B370" s="20" t="n">
        <v>373</v>
      </c>
      <c r="C370" s="24" t="s">
        <v>417</v>
      </c>
      <c r="D370" s="21" t="s">
        <v>941</v>
      </c>
      <c r="E370" s="21" t="s">
        <v>416</v>
      </c>
      <c r="F370" s="13" t="s">
        <v>38</v>
      </c>
      <c r="G370" s="22" t="n">
        <v>0</v>
      </c>
      <c r="H370" s="22" t="n">
        <v>0</v>
      </c>
      <c r="I370" s="22" t="n">
        <v>159362.25</v>
      </c>
      <c r="J370" s="21" t="s">
        <v>147</v>
      </c>
      <c r="K370" s="13"/>
    </row>
    <row r="371" customFormat="false" ht="18.75" hidden="false" customHeight="true" outlineLevel="0" collapsed="false">
      <c r="A371" s="17" t="n">
        <v>367</v>
      </c>
      <c r="B371" s="17" t="n">
        <v>374</v>
      </c>
      <c r="C371" s="23" t="s">
        <v>419</v>
      </c>
      <c r="D371" s="18" t="s">
        <v>941</v>
      </c>
      <c r="E371" s="18" t="s">
        <v>418</v>
      </c>
      <c r="F371" s="9" t="s">
        <v>38</v>
      </c>
      <c r="G371" s="19" t="n">
        <v>0</v>
      </c>
      <c r="H371" s="19" t="n">
        <v>0</v>
      </c>
      <c r="I371" s="19" t="n">
        <v>84620.25</v>
      </c>
      <c r="J371" s="18" t="s">
        <v>147</v>
      </c>
      <c r="K371" s="9"/>
    </row>
    <row r="372" customFormat="false" ht="18.75" hidden="false" customHeight="true" outlineLevel="0" collapsed="false">
      <c r="A372" s="20" t="n">
        <v>368</v>
      </c>
      <c r="B372" s="20" t="n">
        <v>375</v>
      </c>
      <c r="C372" s="24" t="s">
        <v>421</v>
      </c>
      <c r="D372" s="21" t="s">
        <v>941</v>
      </c>
      <c r="E372" s="21" t="s">
        <v>420</v>
      </c>
      <c r="F372" s="13" t="s">
        <v>42</v>
      </c>
      <c r="G372" s="22" t="n">
        <v>0</v>
      </c>
      <c r="H372" s="22" t="n">
        <v>0</v>
      </c>
      <c r="I372" s="22" t="n">
        <v>65010.5</v>
      </c>
      <c r="J372" s="21" t="s">
        <v>147</v>
      </c>
      <c r="K372" s="13"/>
    </row>
    <row r="373" customFormat="false" ht="18.75" hidden="false" customHeight="true" outlineLevel="0" collapsed="false">
      <c r="A373" s="17" t="n">
        <v>369</v>
      </c>
      <c r="B373" s="17" t="n">
        <v>376</v>
      </c>
      <c r="C373" s="23" t="s">
        <v>421</v>
      </c>
      <c r="D373" s="18" t="s">
        <v>549</v>
      </c>
      <c r="E373" s="18" t="s">
        <v>739</v>
      </c>
      <c r="F373" s="9" t="s">
        <v>42</v>
      </c>
      <c r="G373" s="19" t="n">
        <v>54800</v>
      </c>
      <c r="H373" s="19" t="n">
        <v>0</v>
      </c>
      <c r="I373" s="19" t="n">
        <v>0</v>
      </c>
      <c r="J373" s="18" t="s">
        <v>90</v>
      </c>
      <c r="K373" s="9"/>
    </row>
    <row r="374" customFormat="false" ht="18.75" hidden="false" customHeight="true" outlineLevel="0" collapsed="false">
      <c r="A374" s="20" t="n">
        <v>370</v>
      </c>
      <c r="B374" s="20" t="n">
        <v>377</v>
      </c>
      <c r="C374" s="24" t="s">
        <v>421</v>
      </c>
      <c r="D374" s="21" t="s">
        <v>549</v>
      </c>
      <c r="E374" s="21" t="s">
        <v>740</v>
      </c>
      <c r="F374" s="13" t="s">
        <v>46</v>
      </c>
      <c r="G374" s="22" t="n">
        <v>5000</v>
      </c>
      <c r="H374" s="22" t="n">
        <v>0</v>
      </c>
      <c r="I374" s="22" t="n">
        <v>0</v>
      </c>
      <c r="J374" s="21" t="s">
        <v>147</v>
      </c>
      <c r="K374" s="13"/>
    </row>
    <row r="375" customFormat="false" ht="18.75" hidden="false" customHeight="true" outlineLevel="0" collapsed="false">
      <c r="A375" s="17" t="n">
        <v>371</v>
      </c>
      <c r="B375" s="17" t="n">
        <v>378</v>
      </c>
      <c r="C375" s="23" t="s">
        <v>423</v>
      </c>
      <c r="D375" s="18" t="s">
        <v>941</v>
      </c>
      <c r="E375" s="18" t="s">
        <v>422</v>
      </c>
      <c r="F375" s="9" t="s">
        <v>38</v>
      </c>
      <c r="G375" s="19" t="n">
        <v>0</v>
      </c>
      <c r="H375" s="19" t="n">
        <v>0</v>
      </c>
      <c r="I375" s="19" t="n">
        <v>131562.25</v>
      </c>
      <c r="J375" s="18" t="s">
        <v>147</v>
      </c>
      <c r="K375" s="9"/>
    </row>
    <row r="376" customFormat="false" ht="18.75" hidden="false" customHeight="true" outlineLevel="0" collapsed="false">
      <c r="A376" s="20" t="n">
        <v>372</v>
      </c>
      <c r="B376" s="20" t="n">
        <v>379</v>
      </c>
      <c r="C376" s="24" t="s">
        <v>425</v>
      </c>
      <c r="D376" s="21" t="s">
        <v>941</v>
      </c>
      <c r="E376" s="21" t="s">
        <v>424</v>
      </c>
      <c r="F376" s="13" t="s">
        <v>42</v>
      </c>
      <c r="G376" s="22" t="n">
        <v>0</v>
      </c>
      <c r="H376" s="22" t="n">
        <v>0</v>
      </c>
      <c r="I376" s="22" t="n">
        <v>26900</v>
      </c>
      <c r="J376" s="21" t="s">
        <v>147</v>
      </c>
      <c r="K376" s="13"/>
    </row>
    <row r="377" customFormat="false" ht="18.75" hidden="false" customHeight="true" outlineLevel="0" collapsed="false">
      <c r="A377" s="17" t="n">
        <v>373</v>
      </c>
      <c r="B377" s="17" t="n">
        <v>380</v>
      </c>
      <c r="C377" s="23" t="s">
        <v>742</v>
      </c>
      <c r="D377" s="18" t="s">
        <v>549</v>
      </c>
      <c r="E377" s="18" t="s">
        <v>741</v>
      </c>
      <c r="F377" s="9" t="s">
        <v>38</v>
      </c>
      <c r="G377" s="19" t="n">
        <v>100000</v>
      </c>
      <c r="H377" s="19" t="n">
        <v>0</v>
      </c>
      <c r="I377" s="19" t="n">
        <v>0</v>
      </c>
      <c r="J377" s="18" t="s">
        <v>147</v>
      </c>
      <c r="K377" s="9" t="s">
        <v>743</v>
      </c>
    </row>
    <row r="378" customFormat="false" ht="18.75" hidden="false" customHeight="true" outlineLevel="0" collapsed="false">
      <c r="A378" s="20" t="n">
        <v>374</v>
      </c>
      <c r="B378" s="20" t="n">
        <v>381</v>
      </c>
      <c r="C378" s="24" t="s">
        <v>427</v>
      </c>
      <c r="D378" s="21" t="s">
        <v>941</v>
      </c>
      <c r="E378" s="21" t="s">
        <v>426</v>
      </c>
      <c r="F378" s="13" t="s">
        <v>38</v>
      </c>
      <c r="G378" s="22" t="n">
        <v>0</v>
      </c>
      <c r="H378" s="22" t="n">
        <v>0</v>
      </c>
      <c r="I378" s="22" t="n">
        <v>20245.88</v>
      </c>
      <c r="J378" s="21" t="s">
        <v>147</v>
      </c>
      <c r="K378" s="13"/>
    </row>
    <row r="379" customFormat="false" ht="18.75" hidden="false" customHeight="true" outlineLevel="0" collapsed="false">
      <c r="A379" s="17" t="n">
        <v>375</v>
      </c>
      <c r="B379" s="17" t="n">
        <v>382</v>
      </c>
      <c r="C379" s="23" t="s">
        <v>429</v>
      </c>
      <c r="D379" s="18" t="s">
        <v>941</v>
      </c>
      <c r="E379" s="18" t="s">
        <v>428</v>
      </c>
      <c r="F379" s="9" t="s">
        <v>38</v>
      </c>
      <c r="G379" s="19" t="n">
        <v>22680</v>
      </c>
      <c r="H379" s="19" t="n">
        <v>0</v>
      </c>
      <c r="I379" s="19" t="n">
        <v>28772</v>
      </c>
      <c r="J379" s="18" t="s">
        <v>147</v>
      </c>
      <c r="K379" s="9" t="s">
        <v>430</v>
      </c>
    </row>
    <row r="380" customFormat="false" ht="18.75" hidden="false" customHeight="true" outlineLevel="0" collapsed="false">
      <c r="A380" s="20" t="n">
        <v>376</v>
      </c>
      <c r="B380" s="20" t="n">
        <v>383</v>
      </c>
      <c r="C380" s="24" t="s">
        <v>745</v>
      </c>
      <c r="D380" s="21" t="s">
        <v>549</v>
      </c>
      <c r="E380" s="21" t="s">
        <v>744</v>
      </c>
      <c r="F380" s="13" t="s">
        <v>38</v>
      </c>
      <c r="G380" s="22" t="n">
        <v>61500</v>
      </c>
      <c r="H380" s="22" t="n">
        <v>0</v>
      </c>
      <c r="I380" s="22" t="n">
        <v>0</v>
      </c>
      <c r="J380" s="21" t="s">
        <v>147</v>
      </c>
      <c r="K380" s="13" t="s">
        <v>746</v>
      </c>
    </row>
    <row r="381" customFormat="false" ht="18.75" hidden="false" customHeight="true" outlineLevel="0" collapsed="false">
      <c r="A381" s="17" t="n">
        <v>377</v>
      </c>
      <c r="B381" s="17" t="n">
        <v>384</v>
      </c>
      <c r="C381" s="23" t="s">
        <v>745</v>
      </c>
      <c r="D381" s="18" t="s">
        <v>549</v>
      </c>
      <c r="E381" s="18" t="s">
        <v>747</v>
      </c>
      <c r="F381" s="9" t="s">
        <v>38</v>
      </c>
      <c r="G381" s="19" t="n">
        <v>17000</v>
      </c>
      <c r="H381" s="19" t="n">
        <v>0</v>
      </c>
      <c r="I381" s="19" t="n">
        <v>0</v>
      </c>
      <c r="J381" s="18" t="s">
        <v>147</v>
      </c>
      <c r="K381" s="9" t="s">
        <v>748</v>
      </c>
    </row>
    <row r="382" customFormat="false" ht="18.75" hidden="false" customHeight="true" outlineLevel="0" collapsed="false">
      <c r="A382" s="20" t="n">
        <v>378</v>
      </c>
      <c r="B382" s="20" t="n">
        <v>385</v>
      </c>
      <c r="C382" s="24" t="s">
        <v>745</v>
      </c>
      <c r="D382" s="21" t="s">
        <v>549</v>
      </c>
      <c r="E382" s="21" t="s">
        <v>749</v>
      </c>
      <c r="F382" s="13" t="s">
        <v>38</v>
      </c>
      <c r="G382" s="22" t="n">
        <v>21500</v>
      </c>
      <c r="H382" s="22" t="n">
        <v>0</v>
      </c>
      <c r="I382" s="22" t="n">
        <v>0</v>
      </c>
      <c r="J382" s="21" t="s">
        <v>147</v>
      </c>
      <c r="K382" s="13" t="s">
        <v>734</v>
      </c>
    </row>
    <row r="383" customFormat="false" ht="18.75" hidden="false" customHeight="true" outlineLevel="0" collapsed="false">
      <c r="A383" s="17" t="n">
        <v>379</v>
      </c>
      <c r="B383" s="17" t="n">
        <v>386</v>
      </c>
      <c r="C383" s="23" t="s">
        <v>751</v>
      </c>
      <c r="D383" s="18" t="s">
        <v>549</v>
      </c>
      <c r="E383" s="18" t="s">
        <v>750</v>
      </c>
      <c r="F383" s="9" t="s">
        <v>42</v>
      </c>
      <c r="G383" s="19" t="n">
        <v>65000</v>
      </c>
      <c r="H383" s="19" t="n">
        <v>0</v>
      </c>
      <c r="I383" s="19" t="n">
        <v>0</v>
      </c>
      <c r="J383" s="18" t="s">
        <v>147</v>
      </c>
      <c r="K383" s="9"/>
    </row>
    <row r="384" customFormat="false" ht="18.75" hidden="false" customHeight="true" outlineLevel="0" collapsed="false">
      <c r="A384" s="20" t="n">
        <v>380</v>
      </c>
      <c r="B384" s="20" t="n">
        <v>387</v>
      </c>
      <c r="C384" s="24" t="s">
        <v>753</v>
      </c>
      <c r="D384" s="21" t="s">
        <v>549</v>
      </c>
      <c r="E384" s="21" t="s">
        <v>752</v>
      </c>
      <c r="F384" s="13" t="s">
        <v>38</v>
      </c>
      <c r="G384" s="22" t="n">
        <v>297319</v>
      </c>
      <c r="H384" s="22" t="n">
        <v>0</v>
      </c>
      <c r="I384" s="22" t="n">
        <v>0</v>
      </c>
      <c r="J384" s="21" t="s">
        <v>560</v>
      </c>
      <c r="K384" s="13" t="s">
        <v>754</v>
      </c>
    </row>
    <row r="385" customFormat="false" ht="18.75" hidden="false" customHeight="true" outlineLevel="0" collapsed="false">
      <c r="A385" s="17" t="n">
        <v>381</v>
      </c>
      <c r="B385" s="17" t="n">
        <v>388</v>
      </c>
      <c r="C385" s="23" t="s">
        <v>432</v>
      </c>
      <c r="D385" s="18" t="s">
        <v>941</v>
      </c>
      <c r="E385" s="18" t="s">
        <v>431</v>
      </c>
      <c r="F385" s="9" t="s">
        <v>42</v>
      </c>
      <c r="G385" s="19" t="n">
        <v>0</v>
      </c>
      <c r="H385" s="19" t="n">
        <v>0</v>
      </c>
      <c r="I385" s="19" t="n">
        <v>28800</v>
      </c>
      <c r="J385" s="18" t="s">
        <v>147</v>
      </c>
      <c r="K385" s="9"/>
    </row>
    <row r="386" customFormat="false" ht="18.75" hidden="false" customHeight="true" outlineLevel="0" collapsed="false">
      <c r="A386" s="20" t="n">
        <v>382</v>
      </c>
      <c r="B386" s="20" t="n">
        <v>389</v>
      </c>
      <c r="C386" s="24" t="s">
        <v>432</v>
      </c>
      <c r="D386" s="21" t="s">
        <v>549</v>
      </c>
      <c r="E386" s="21" t="s">
        <v>755</v>
      </c>
      <c r="F386" s="13" t="s">
        <v>38</v>
      </c>
      <c r="G386" s="22" t="n">
        <v>20000</v>
      </c>
      <c r="H386" s="22" t="n">
        <v>0</v>
      </c>
      <c r="I386" s="22" t="n">
        <v>0</v>
      </c>
      <c r="J386" s="21" t="s">
        <v>90</v>
      </c>
      <c r="K386" s="13" t="s">
        <v>756</v>
      </c>
    </row>
    <row r="387" customFormat="false" ht="18.75" hidden="false" customHeight="true" outlineLevel="0" collapsed="false">
      <c r="A387" s="17" t="n">
        <v>383</v>
      </c>
      <c r="B387" s="17" t="n">
        <v>390</v>
      </c>
      <c r="C387" s="23" t="s">
        <v>434</v>
      </c>
      <c r="D387" s="18" t="s">
        <v>941</v>
      </c>
      <c r="E387" s="18" t="s">
        <v>433</v>
      </c>
      <c r="F387" s="9" t="s">
        <v>38</v>
      </c>
      <c r="G387" s="19" t="n">
        <v>0</v>
      </c>
      <c r="H387" s="19" t="n">
        <v>0</v>
      </c>
      <c r="I387" s="19" t="n">
        <v>186887.5</v>
      </c>
      <c r="J387" s="18" t="s">
        <v>147</v>
      </c>
      <c r="K387" s="9"/>
    </row>
    <row r="388" customFormat="false" ht="18.75" hidden="false" customHeight="true" outlineLevel="0" collapsed="false">
      <c r="A388" s="20" t="n">
        <v>384</v>
      </c>
      <c r="B388" s="20" t="n">
        <v>391</v>
      </c>
      <c r="C388" s="24" t="s">
        <v>436</v>
      </c>
      <c r="D388" s="21" t="s">
        <v>549</v>
      </c>
      <c r="E388" s="21" t="s">
        <v>757</v>
      </c>
      <c r="F388" s="13" t="s">
        <v>42</v>
      </c>
      <c r="G388" s="22" t="n">
        <v>26900</v>
      </c>
      <c r="H388" s="22" t="n">
        <v>0</v>
      </c>
      <c r="I388" s="22" t="n">
        <v>0</v>
      </c>
      <c r="J388" s="21" t="s">
        <v>147</v>
      </c>
      <c r="K388" s="13"/>
    </row>
    <row r="389" customFormat="false" ht="18.75" hidden="false" customHeight="true" outlineLevel="0" collapsed="false">
      <c r="A389" s="17" t="n">
        <v>385</v>
      </c>
      <c r="B389" s="17" t="n">
        <v>392</v>
      </c>
      <c r="C389" s="23" t="s">
        <v>436</v>
      </c>
      <c r="D389" s="18" t="s">
        <v>549</v>
      </c>
      <c r="E389" s="18" t="s">
        <v>758</v>
      </c>
      <c r="F389" s="9" t="s">
        <v>38</v>
      </c>
      <c r="G389" s="19" t="n">
        <v>6000</v>
      </c>
      <c r="H389" s="19" t="n">
        <v>0</v>
      </c>
      <c r="I389" s="19" t="n">
        <v>0</v>
      </c>
      <c r="J389" s="18" t="s">
        <v>147</v>
      </c>
      <c r="K389" s="9" t="s">
        <v>759</v>
      </c>
    </row>
    <row r="390" customFormat="false" ht="18.75" hidden="false" customHeight="true" outlineLevel="0" collapsed="false">
      <c r="A390" s="20" t="n">
        <v>386</v>
      </c>
      <c r="B390" s="20" t="n">
        <v>393</v>
      </c>
      <c r="C390" s="24" t="s">
        <v>436</v>
      </c>
      <c r="D390" s="21" t="s">
        <v>941</v>
      </c>
      <c r="E390" s="21" t="s">
        <v>435</v>
      </c>
      <c r="F390" s="13" t="s">
        <v>38</v>
      </c>
      <c r="G390" s="22" t="n">
        <v>0</v>
      </c>
      <c r="H390" s="22" t="n">
        <v>0</v>
      </c>
      <c r="I390" s="22" t="n">
        <v>47000</v>
      </c>
      <c r="J390" s="21" t="s">
        <v>147</v>
      </c>
      <c r="K390" s="13"/>
    </row>
    <row r="391" customFormat="false" ht="18.75" hidden="false" customHeight="true" outlineLevel="0" collapsed="false">
      <c r="A391" s="17" t="n">
        <v>387</v>
      </c>
      <c r="B391" s="17" t="n">
        <v>394</v>
      </c>
      <c r="C391" s="23" t="s">
        <v>761</v>
      </c>
      <c r="D391" s="18" t="s">
        <v>549</v>
      </c>
      <c r="E391" s="18" t="s">
        <v>760</v>
      </c>
      <c r="F391" s="9" t="s">
        <v>38</v>
      </c>
      <c r="G391" s="19" t="n">
        <v>75000</v>
      </c>
      <c r="H391" s="19" t="n">
        <v>0</v>
      </c>
      <c r="I391" s="19" t="n">
        <v>0</v>
      </c>
      <c r="J391" s="18" t="s">
        <v>147</v>
      </c>
      <c r="K391" s="9" t="s">
        <v>762</v>
      </c>
    </row>
    <row r="392" customFormat="false" ht="18.75" hidden="false" customHeight="true" outlineLevel="0" collapsed="false">
      <c r="A392" s="20" t="n">
        <v>388</v>
      </c>
      <c r="B392" s="20" t="n">
        <v>395</v>
      </c>
      <c r="C392" s="24" t="s">
        <v>761</v>
      </c>
      <c r="D392" s="21" t="s">
        <v>549</v>
      </c>
      <c r="E392" s="21" t="s">
        <v>763</v>
      </c>
      <c r="F392" s="13" t="s">
        <v>38</v>
      </c>
      <c r="G392" s="22" t="n">
        <v>25000</v>
      </c>
      <c r="H392" s="22" t="n">
        <v>0</v>
      </c>
      <c r="I392" s="22" t="n">
        <v>0</v>
      </c>
      <c r="J392" s="21" t="s">
        <v>147</v>
      </c>
      <c r="K392" s="13" t="s">
        <v>762</v>
      </c>
    </row>
    <row r="393" customFormat="false" ht="18.75" hidden="false" customHeight="true" outlineLevel="0" collapsed="false">
      <c r="A393" s="17" t="n">
        <v>389</v>
      </c>
      <c r="B393" s="17" t="n">
        <v>396</v>
      </c>
      <c r="C393" s="23" t="s">
        <v>761</v>
      </c>
      <c r="D393" s="18" t="s">
        <v>549</v>
      </c>
      <c r="E393" s="18" t="s">
        <v>764</v>
      </c>
      <c r="F393" s="9" t="s">
        <v>38</v>
      </c>
      <c r="G393" s="19" t="n">
        <v>50000</v>
      </c>
      <c r="H393" s="19" t="n">
        <v>0</v>
      </c>
      <c r="I393" s="19" t="n">
        <v>0</v>
      </c>
      <c r="J393" s="18" t="s">
        <v>147</v>
      </c>
      <c r="K393" s="9" t="s">
        <v>762</v>
      </c>
    </row>
    <row r="394" customFormat="false" ht="18.75" hidden="false" customHeight="true" outlineLevel="0" collapsed="false">
      <c r="A394" s="20" t="n">
        <v>390</v>
      </c>
      <c r="B394" s="20" t="n">
        <v>397</v>
      </c>
      <c r="C394" s="24" t="s">
        <v>761</v>
      </c>
      <c r="D394" s="21" t="s">
        <v>549</v>
      </c>
      <c r="E394" s="21" t="s">
        <v>765</v>
      </c>
      <c r="F394" s="13" t="s">
        <v>38</v>
      </c>
      <c r="G394" s="22" t="n">
        <v>15500</v>
      </c>
      <c r="H394" s="22" t="n">
        <v>0</v>
      </c>
      <c r="I394" s="22" t="n">
        <v>0</v>
      </c>
      <c r="J394" s="21" t="s">
        <v>147</v>
      </c>
      <c r="K394" s="13" t="s">
        <v>762</v>
      </c>
    </row>
    <row r="395" customFormat="false" ht="18.75" hidden="false" customHeight="true" outlineLevel="0" collapsed="false">
      <c r="A395" s="17" t="n">
        <v>391</v>
      </c>
      <c r="B395" s="17" t="n">
        <v>398</v>
      </c>
      <c r="C395" s="23" t="s">
        <v>767</v>
      </c>
      <c r="D395" s="18" t="s">
        <v>549</v>
      </c>
      <c r="E395" s="18" t="s">
        <v>766</v>
      </c>
      <c r="F395" s="9" t="s">
        <v>38</v>
      </c>
      <c r="G395" s="19" t="n">
        <v>50000</v>
      </c>
      <c r="H395" s="19" t="n">
        <v>0</v>
      </c>
      <c r="I395" s="19" t="n">
        <v>0</v>
      </c>
      <c r="J395" s="18" t="s">
        <v>147</v>
      </c>
      <c r="K395" s="9" t="s">
        <v>768</v>
      </c>
    </row>
    <row r="396" customFormat="false" ht="21.75" hidden="false" customHeight="true" outlineLevel="0" collapsed="false">
      <c r="A396" s="25"/>
      <c r="B396" s="25"/>
      <c r="C396" s="25"/>
      <c r="D396" s="25"/>
      <c r="E396" s="25"/>
      <c r="F396" s="26" t="s">
        <v>437</v>
      </c>
      <c r="G396" s="27" t="n">
        <f aca="false">SUM(G5:G395)</f>
        <v>10601865</v>
      </c>
      <c r="H396" s="27" t="n">
        <f aca="false">SUM(H5:H395)</f>
        <v>250000</v>
      </c>
      <c r="I396" s="27" t="n">
        <f aca="false">SUM(I5:I395)</f>
        <v>14354942.01</v>
      </c>
      <c r="J396" s="25"/>
      <c r="K396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2026-10-20T19:37:41Z</dcterms:created>
  <dc:creator>openpyxl</dc:creator>
  <dc:description/>
  <dc:language>en-US</dc:language>
  <cp:lastModifiedBy/>
  <dcterms:modified xsi:type="dcterms:W3CDTF">2026-10-20T19:37:41Z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